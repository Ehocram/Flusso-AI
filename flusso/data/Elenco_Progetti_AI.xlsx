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Z:\ManagementSystem\Iseo-Group\03_Risks and opportunities\Gestione 2026\Piani d'azione\Op 4 - Intelligenza artificiale\"/>
    </mc:Choice>
  </mc:AlternateContent>
  <xr:revisionPtr revIDLastSave="0" documentId="13_ncr:1_{EB6CBF4D-CC0F-4E2C-A1FE-E754B84231B4}" xr6:coauthVersionLast="47" xr6:coauthVersionMax="47" xr10:uidLastSave="{00000000-0000-0000-0000-000000000000}"/>
  <bookViews>
    <workbookView xWindow="19090" yWindow="-110" windowWidth="25820" windowHeight="13900" xr2:uid="{49D98495-D123-4326-B378-AC5D3A9B56FE}"/>
  </bookViews>
  <sheets>
    <sheet name="Elenco" sheetId="1" r:id="rId1"/>
    <sheet name="Elenco attivati" sheetId="3" r:id="rId2"/>
    <sheet name="Aree"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0" i="1" l="1"/>
  <c r="A31" i="1"/>
  <c r="A32" i="1"/>
  <c r="A33" i="1"/>
  <c r="A34" i="1"/>
  <c r="A35" i="1"/>
  <c r="A36" i="1"/>
  <c r="A37" i="1"/>
  <c r="A38" i="1"/>
  <c r="A39" i="1"/>
  <c r="A40" i="1"/>
  <c r="A41" i="1"/>
  <c r="A42" i="1" s="1"/>
  <c r="A43" i="1" s="1"/>
  <c r="A44" i="1" s="1"/>
  <c r="A45" i="1" s="1"/>
  <c r="A46" i="1" s="1"/>
  <c r="F1" i="3"/>
  <c r="A5" i="3"/>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W4" i="3"/>
  <c r="X4" i="3" s="1"/>
  <c r="A26" i="1"/>
  <c r="A27" i="1" s="1"/>
  <c r="A28" i="1" s="1"/>
  <c r="A29" i="1" s="1"/>
  <c r="W4" i="1"/>
  <c r="X4" i="1" s="1"/>
  <c r="A5" i="1"/>
  <c r="A6" i="1" s="1"/>
  <c r="A7" i="1" s="1"/>
  <c r="A8" i="1" s="1"/>
  <c r="A9" i="1" s="1"/>
  <c r="A10" i="1" s="1"/>
  <c r="A11" i="1" s="1"/>
  <c r="A12" i="1" s="1"/>
  <c r="A13" i="1" s="1"/>
  <c r="A14" i="1" s="1"/>
  <c r="A15" i="1" s="1"/>
  <c r="A16" i="1" s="1"/>
  <c r="A17" i="1" s="1"/>
  <c r="A18" i="1" s="1"/>
  <c r="A19" i="1" s="1"/>
  <c r="A20" i="1" s="1"/>
  <c r="A21" i="1" s="1"/>
  <c r="A22" i="1" s="1"/>
  <c r="A23" i="1" s="1"/>
  <c r="A24" i="1" s="1"/>
  <c r="A25" i="1" s="1"/>
</calcChain>
</file>

<file path=xl/sharedStrings.xml><?xml version="1.0" encoding="utf-8"?>
<sst xmlns="http://schemas.openxmlformats.org/spreadsheetml/2006/main" count="572" uniqueCount="202">
  <si>
    <t>Elenco esigenze progetti AI</t>
  </si>
  <si>
    <t>In carico alla funzione AI</t>
  </si>
  <si>
    <t>Owner</t>
  </si>
  <si>
    <t>Situazione</t>
  </si>
  <si>
    <t>ID</t>
  </si>
  <si>
    <t>Richiedente</t>
  </si>
  <si>
    <t>Area</t>
  </si>
  <si>
    <t>Titolo</t>
  </si>
  <si>
    <t>Descrizione</t>
  </si>
  <si>
    <t>Note</t>
  </si>
  <si>
    <t>Priorità</t>
  </si>
  <si>
    <t>Obiettivo principale</t>
  </si>
  <si>
    <t>Risultati attesi</t>
  </si>
  <si>
    <t>Fattibilità / analisi da parte di IT</t>
  </si>
  <si>
    <t>Gradi di complessità</t>
  </si>
  <si>
    <t>Soluzione</t>
  </si>
  <si>
    <t>Ritorno economico</t>
  </si>
  <si>
    <t>Ritorno qualitativo</t>
  </si>
  <si>
    <t>Di area</t>
  </si>
  <si>
    <t>IT</t>
  </si>
  <si>
    <t>Investimento Opex e/o Capex</t>
  </si>
  <si>
    <t>Data presentazione</t>
  </si>
  <si>
    <t>Approvazione</t>
  </si>
  <si>
    <t>Inizio</t>
  </si>
  <si>
    <t>Fine prevista</t>
  </si>
  <si>
    <t>SAL</t>
  </si>
  <si>
    <t>Consegna al business</t>
  </si>
  <si>
    <t>Tempistica per utilizzo 100%</t>
  </si>
  <si>
    <t>KPI economico</t>
  </si>
  <si>
    <t>Intrafunzionale</t>
  </si>
  <si>
    <t>L1+L2 automatizzato</t>
  </si>
  <si>
    <t>Agentiche AI per automazione di processo</t>
  </si>
  <si>
    <t>Sviluppo interno</t>
  </si>
  <si>
    <t>Alta</t>
  </si>
  <si>
    <t>Automatizzare L1+L2</t>
  </si>
  <si>
    <t>Delega dei processi di supporto helpdesk ad AI</t>
  </si>
  <si>
    <t>Agentiche AI per l'automazione del supporto helpdesk (L1+L2).  — Agentiche AI, sviluppo interno</t>
  </si>
  <si>
    <t>250K</t>
  </si>
  <si>
    <t>Servizio H24</t>
  </si>
  <si>
    <t>30K</t>
  </si>
  <si>
    <t>09/06//2026</t>
  </si>
  <si>
    <t>To define</t>
  </si>
  <si>
    <t>R&amp;D</t>
  </si>
  <si>
    <t>Software engineering</t>
  </si>
  <si>
    <t>Assistenza al coding per sviluppatori App e servizi Cloud</t>
  </si>
  <si>
    <t>Sviluppo software rallentato da attività ripetitive, boilerplate, debugging, refactoring, scrittura test e comprensione di codice esistente; dipendenza dai senior per supporto operativo.</t>
  </si>
  <si>
    <t>Aumenta produttività degli sviluppatori; riduce tempi su task ripetitivi; migliora qualità del codice e copertura test; accelera onboarding su App e servizi Cloud.</t>
  </si>
  <si>
    <t>QA e testing</t>
  </si>
  <si>
    <t>Test generation + Playwright automation</t>
  </si>
  <si>
    <t>Test manuali ripetitivi, copertura limitata, regressioni e alto effort di manutenzione QA.</t>
  </si>
  <si>
    <t>Aumenta copertura test; riduce regressioni; automatizza casi ripetitivi; collega requisiti e criteri di accettazione ai test.</t>
  </si>
  <si>
    <t>Knowledge management</t>
  </si>
  <si>
    <t>Projects in ChatGPT / repository intelligente</t>
  </si>
  <si>
    <t>Informazioni disperse tra documenti, ticket, manuali e persone; perdita di tempo nel cambio contesto tra clienti/progetti.</t>
  </si>
  <si>
    <t>Riduce il tempo di ricerca; aumenta coerenza delle risposte; abilita altri casi d'uso AI con contesto aziendale.</t>
  </si>
  <si>
    <t>Repository intelligente: documenti, ticket e manuali unificati.  — Assistente AI interno</t>
  </si>
  <si>
    <t>500*utente</t>
  </si>
  <si>
    <t>Approvato</t>
  </si>
  <si>
    <t>Product management</t>
  </si>
  <si>
    <t>Generazione user story e acceptance criteria</t>
  </si>
  <si>
    <t>Requisiti high-level poco strutturati; backlog disomogeneo; effort manuale del Product Owner.</t>
  </si>
  <si>
    <t>Migliora chiarezza, completezza e coerenza delle user story; riduce tempo di scrittura; facilita stima e test.</t>
  </si>
  <si>
    <t>Backlog intelligence</t>
  </si>
  <si>
    <t>Analisi ticket, clustering, duplicati e relazioni RFSD-Epic-User Story</t>
  </si>
  <si>
    <t>Backlog rumoroso; ticket duplicati; relazioni difficili da leggere; triage lento.</t>
  </si>
  <si>
    <t>Migliora qualità del backlog; accelera triage; rende visibili dipendenze e pattern ricorrenti.</t>
  </si>
  <si>
    <t>Troubleshooting &amp; supporto</t>
  </si>
  <si>
    <t>FAQ e troubleshooting da ticket, manuali e casi storici</t>
  </si>
  <si>
    <t>Conoscenza di supporto non riusata; richieste ripetitive ai tecnici; difficoltà a individuare cause ricorrenti.</t>
  </si>
  <si>
    <t>Riduce carico sul supporto; migliora autonomia utenti e installatori; riutilizza casi storici.</t>
  </si>
  <si>
    <t>Documentazione tecnica</t>
  </si>
  <si>
    <t>Generazione automatica manuali di installazione, manuali utente e data sheet</t>
  </si>
  <si>
    <t>Documenti prodotti tardi, incoerenti, difficili da aggiornare e dipendenti da pochi esperti.</t>
  </si>
  <si>
    <t>Riduce effort documentale; standardizza il formato; migliora aggiornamento e riuso dei contenuti.</t>
  </si>
  <si>
    <t>Release &amp; change documentation</t>
  </si>
  <si>
    <t>Aggiornamento automatico documenti post-release</t>
  </si>
  <si>
    <t>Manuali, help online e data sheet non sempre restano allineati alle modifiche di release.</t>
  </si>
  <si>
    <t>Riduce disallineamento prodotto-documentazione; accelera pubblicazione; migliora controllo delle modifiche.</t>
  </si>
  <si>
    <t>Engineering Quality</t>
  </si>
  <si>
    <t>Error Detector Multi-Agente per disegni tecnici</t>
  </si>
  <si>
    <t>Verifica manuale lenta e ripetitiva dei disegni tecnici; rischio di errori, omissioni, incongruenze e rilavorazioni a valle.</t>
  </si>
  <si>
    <t>Risparmio tempo di verifica; rilevamento più rapido; valorizzazione competenze senior; minori costi e rilavorazioni.</t>
  </si>
  <si>
    <t>Project management</t>
  </si>
  <si>
    <t>Meeting intelligence e status reporting</t>
  </si>
  <si>
    <t>Decisioni, action item e rischi si perdono nelle riunioni; reporting manuale e disomogeneo.</t>
  </si>
  <si>
    <t>Riduce lavoro amministrativo; migliora accountability; accelera preparazione steering e report di avanzamento.</t>
  </si>
  <si>
    <t>Traduzione e localizzazione</t>
  </si>
  <si>
    <t>Traduzione controllata di documentazione tecnica</t>
  </si>
  <si>
    <t>Costi e tempi elevati per manuali multilingua; rischio di incoerenza terminologica.</t>
  </si>
  <si>
    <t>Accelera localizzazione; mantiene glossari coerenti; riduce effort di revisione linguistica.</t>
  </si>
  <si>
    <t>Architecture &amp; R&amp;D</t>
  </si>
  <si>
    <t>Supporto ad ADR, design review e scouting tecnologico</t>
  </si>
  <si>
    <t>Decisioni tecniche poco documentate; analisi trade-off dipendenti da pochi senior; scouting frammentato.</t>
  </si>
  <si>
    <t>Decisioni più tracciabili; review più strutturate; riduzione dipendenza da singoli esperti.</t>
  </si>
  <si>
    <t>Prodotto</t>
  </si>
  <si>
    <t>Product analytics / BI conversazionale</t>
  </si>
  <si>
    <t>Assistente dashboard per piattaforme Luckey e LSA</t>
  </si>
  <si>
    <t>Gli utilizzatori devono creare viste e analisi sui dati di controllo accessi usando report statici o strumenti tecnici; la costruzione di dashboard richiede tempo, competenze sui dati e supporto di team interni.</t>
  </si>
  <si>
    <t>Abilita self-service analytics in linguaggio naturale; riduce il tempo per ottenere insight; diminuisce richieste a supporto/IT; migliora la comprensione di eventi, statistiche, dispositivi e localizzazioni; facilita decisioni operative.</t>
  </si>
  <si>
    <t>Product agent / Configurazione impianti</t>
  </si>
  <si>
    <t>Agente AI per configurazione e assistenza installatore nei sistemi di controllo accessi</t>
  </si>
  <si>
    <t>La configurazione degli impianti di controllo accessi può essere complessa: dispositivi, utenti, credenziali, regole, varchi, rete, localizzazione e compatibilità. Gli installatori devono consultare manuali e spesso dipendono dal supporto tecnico.</t>
  </si>
  <si>
    <t>Accelera configurazione e commissioning; riduce errori e configurazioni incomplete; standardizza le best practice installative; supporta l'installatore tramite dialogo naturale; riduce ticket e rilavorazioni post-installazione.</t>
  </si>
  <si>
    <t>Sales</t>
  </si>
  <si>
    <t>Presales – Automazione delle offerte</t>
  </si>
  <si>
    <t>Il team presales gestisce un volume significativo di offerte di piccolo taglio e natura ripetitiva. 
Il modello - che si ipotizza - funziona come un ambiente di progetto AI (tipo Claude Teams/Enterprise): template e regole caricate come knowledge base, bozza generata automaticamente dall'AI, revisione e approvazione finale umana. Nessuno sviluppo custom necessario nella fase iniziale.</t>
  </si>
  <si>
    <t>Requirements:
memoria persistente per progetto (contesto offerte, regole commerciali, template)
accesso multi-utente per il team presales
valutare se il livello di confidenzialità dei documenti richiede soluzione on-premise o se un piano Teams/Enterprise è accettabile (come da mail di Bonometti)</t>
  </si>
  <si>
    <t>1 (Si ipotizza un plug % play di implementazione immediata)</t>
  </si>
  <si>
    <t>L'obiettivo è ridurre il time-to-offer su queste pratiche, mantenendo la validazione umana da parte dei Proposals/KAM/BDM.</t>
  </si>
  <si>
    <t>Bozze automatiche per offerte ripetitive, con validazione umana.  — Assistente AI interno</t>
  </si>
  <si>
    <t xml:space="preserve"> Service – AI su Zendesk</t>
  </si>
  <si>
    <t>Fantini ha identificato due funzionalità che Zendesk ha recentemente reso disponibili all'interno della nostra licenza (Knowledge Builder + AI Agents) che permetterebbero di trasformare la conoscenza esistente — ticket storici, documentazione SharePoint, trascrizioni chiamate — in un agente AI per la gestione delle richieste semplici e ripetitive.</t>
  </si>
  <si>
    <t>Requirements:
chiarire se e come Zendesk utilizzerebbe i dati dei ticket per il training dei propri modelli (ho chiesto a Gianni di verificare)
valutare se la soluzione AI interna sviluppata da Bonometti può integrarsi con Zendesk via API, come alternativa che garantisce piena proprietà del dato
in entrambi i casi: definire perimetro dei dati accessibili all'agente e meccanismi di escalation</t>
  </si>
  <si>
    <t>benefici misurabili: copertura h24, risposta immediata, focus del SOC su attività ad alto valore.</t>
  </si>
  <si>
    <t>Agente AI sulla conoscenza esistente per richieste semplici.  — Assistente AI Zendesk</t>
  </si>
  <si>
    <t>Gianni Fantini</t>
  </si>
  <si>
    <t>Automatizzazione dell'inserimento degli ordini a sistema</t>
  </si>
  <si>
    <t>2) questa soluzione richiede di sicuro uno sviluppo</t>
  </si>
  <si>
    <t>Operations</t>
  </si>
  <si>
    <t>Manufacturing / OT</t>
  </si>
  <si>
    <t>Manutenzione predittive</t>
  </si>
  <si>
    <t xml:space="preserve">Necessità di anticipare eventuali fermi per guasto o usura componentistica su impianti: Buffoli/ Gnutti/ Giuliani. Partendo da output impianto tramite Agente AI  interpretare i dati in uscita dalla macchina e fornire informazioni ad operatore per decisione successiva di intervento (in futuro possibilità di feedback direttamente a ‘monte impianto’ per modifica dei parametri macchina in automatico). Impianti dotati di sensoristica ma con possibilità di ulteriori implementazioni. </t>
  </si>
  <si>
    <t>Nota IT: una macchina</t>
  </si>
  <si>
    <t>Prevenire fermi impianti per guasti
Riduzione straordinari ed extra work
Ottimizzazione utilizzo risorse (attrezzisti e manutentori)
Ridurre consumo spare parts e utensili
Ridurre impatti produttivi e qualità</t>
  </si>
  <si>
    <r>
      <t xml:space="preserve">Anticipa i fermi su una macchina pilota (deterministico on-prem + agente AI).  </t>
    </r>
    <r>
      <rPr>
        <i/>
        <sz val="9.5"/>
        <color rgb="FF2B2F35"/>
        <rFont val="Calibri"/>
        <family val="2"/>
      </rPr>
      <t>— 2 livelli, advisory-only</t>
    </r>
  </si>
  <si>
    <t>Stimiamo di ridurre costi per 50k€ alle condizioni attuali di produzione e fermi raccolti</t>
  </si>
  <si>
    <t>Raccolta dati Energetici sito produttivo</t>
  </si>
  <si>
    <t>Tramite data collection già in essere con FEDABO, utilizzare Agente AI per interpretare il dato raccolto e fornire possibili scenari decisionali per successivo intervento operatore facility ed Energy Manager</t>
  </si>
  <si>
    <t>Prevenire extra consumi errato utilizzo impianti
Identificazione sprechi energetici non visibili
Intervento su impianti maggiormente energivori
Ridurre rischi di fermi improvvisi con conseguente impatto produttivo
Riduzione spare parts e utilizzo risorse</t>
  </si>
  <si>
    <t>Stimiamo di ridurre costi per 100k€ alle condizioni attuali di consumi</t>
  </si>
  <si>
    <t>Qualità produzione</t>
  </si>
  <si>
    <t xml:space="preserve">su Buffoli/ Gnutti/ Giuliani. Confrontare conformità dei pezzi prodotti tramite sistemi di visione automatica, standard e tramite agente AI revisione dei parametri macchina per rientrare nelle tolleranze di prodotto e di processo. </t>
  </si>
  <si>
    <t>Prevenire costi di non qualità: selezioni, rilavorazioni e scarti
Ridurre interventi ad hoc di sistemazione processo produttivo
Ridurre rischi sui clienti finali: blocchi produttivi e richiami</t>
  </si>
  <si>
    <t>Stimiamo 25k€</t>
  </si>
  <si>
    <t>RFID</t>
  </si>
  <si>
    <t xml:space="preserve">Integrazione di sistemi RFID per tracciabilità ‘cassette/ materiale di produzione’. Tramite agente AI verificare i dati relativi alle movimentazioni di quanto in oggetto, così da fornire strategia di immagazzinamento e ottimizzazione dell’handling di stabilimento. </t>
  </si>
  <si>
    <t>Prevenire costi di movimentazione e stoccaggio
Prevenire impatti inventariali e rotture di stock che causano fermi produttivi</t>
  </si>
  <si>
    <t>Supply Chain</t>
  </si>
  <si>
    <t>Solleciti e risposte</t>
  </si>
  <si>
    <t>Nuova data spedizione per ordini di vendita in ritardo e sollecitati dal cliente</t>
  </si>
  <si>
    <t>Fornire la nuova data spedizione all'ufficio commerciale</t>
  </si>
  <si>
    <t>Sintesi delle informazioni</t>
  </si>
  <si>
    <r>
      <t xml:space="preserve">Ricerca ordini in ritardo su Dynamics 365 (deterministica, sola lettura).  </t>
    </r>
    <r>
      <rPr>
        <i/>
        <sz val="9.5"/>
        <color rgb="FF2B2F35"/>
        <rFont val="Calibri"/>
        <family val="2"/>
      </rPr>
      <t>— Chat Assistant · connettore D365</t>
    </r>
  </si>
  <si>
    <t>Demand e S&amp;OP / forecast trimestrale / stima mensile fatturato</t>
  </si>
  <si>
    <t>forecast error</t>
  </si>
  <si>
    <t>analisi deviazione per linea prodotto/mercato</t>
  </si>
  <si>
    <t>minimizzare errore previsionale e evidenziare ciò che non è prevedibile</t>
  </si>
  <si>
    <t xml:space="preserve">Ricerca fornitori </t>
  </si>
  <si>
    <t>Interrogazione AI con precisi parametri/riferimenti per la ricerca di nuovi fornitori, per categoria di acquisto.</t>
  </si>
  <si>
    <t>Supporto nello scouting di nuovi fornitori e più precisamente nella fase iniziale di ricerca/snellire i tempi di ricerca.</t>
  </si>
  <si>
    <t>Proposta fornitori completa di diverse informazioni: core business, posizione, distanza chilometrica,  recapiti, ecc.</t>
  </si>
  <si>
    <t>Andamento materie prime</t>
  </si>
  <si>
    <t>Rilevazione dell'andamento delle materie prime sul mercato, contestualizzato e completo di analisi causa-effetto, volta a mettere in luce gli effetti/criticità  immediati ed anche i possibili scenari futuri.</t>
  </si>
  <si>
    <t>Il supporto soprattutto sulla parte finanziaria delle commodities</t>
  </si>
  <si>
    <t>analisi periodiche legate alla situazione geopolitica che ha sempre dei forti impatti su costi energetici, trasporto e di conseguenza sulle materie prime.</t>
  </si>
  <si>
    <t>Outbound: 1 regole di stoccaggio</t>
  </si>
  <si>
    <t>A partire da un'analisi sui movimenti di magazzino e di politica di stock, definire la categoria logistica + definire i parametri di refilling</t>
  </si>
  <si>
    <t>adattare le regole di stoccaggio per aumentare la produttività di picking</t>
  </si>
  <si>
    <t>Aumento della produttività + un guadagno di tempo su un'analisi che ora viene fatta solamente 1 volta all'anno quando dovremmo farla 3-4 volte/anno</t>
  </si>
  <si>
    <t>Outbound: 2 lotto di confezionamento di prod: in corso con il LSS)</t>
  </si>
  <si>
    <t>A partire del portofoglio di vendita, definire la qta per scatola ottimizzata per prelevare dei multipli di scatola intere</t>
  </si>
  <si>
    <t>definire la qta ideale per aumentare naturalmente la % di righe ordinate = multiplo di lotto di confezionamento</t>
  </si>
  <si>
    <t>aumentare la produttività  + ridurre le Non Conformità</t>
  </si>
  <si>
    <t>Demand: 1 forecast trimestrale</t>
  </si>
  <si>
    <t>previsione di vendita</t>
  </si>
  <si>
    <t>analisi per cliente/articolo</t>
  </si>
  <si>
    <t>previsione di vendita sulla base dello storico</t>
  </si>
  <si>
    <t>Demand: 2 stima mensile fatturato gruppo verso clienti per company</t>
  </si>
  <si>
    <t>valore fatturato atteso gruppo iseo</t>
  </si>
  <si>
    <t>stima sulla base dello storico del fatturato del mese in corso</t>
  </si>
  <si>
    <t xml:space="preserve">valore fatturato company vs clienti </t>
  </si>
  <si>
    <t>HR</t>
  </si>
  <si>
    <t>Area selezione e talent acquisition</t>
  </si>
  <si>
    <t>L’AI può aiutare l'area Laura con Giorgia a scrivere job description, adattare annunci a target diversi, fare pre-screening documentale, generare domande di colloquio coerenti con il ruolo, ect…</t>
  </si>
  <si>
    <t>Onboarding</t>
  </si>
  <si>
    <t>Molto utile per creare percorsi personalizzati per neoassunti: checklist, documenti, policy aziendali, formazione iniziale, FAQ, spiegazione di processi interni, organigrammi e riferimenti utili. Un assistente AI interno può ridurre il carico su HR e manager. Devo anche dire che abbiamo già un processo stabile e ben consolidato ma sicuramente potrebbe essere migliorato.</t>
  </si>
  <si>
    <t>Formazione e sviluppo</t>
  </si>
  <si>
    <t>L’AI può aiutare Giorgia nel costruire una mappa delle competenze, identificare gap rispetto ai ruoli futuri, suggerire formazioni personalizzate, creare micro-contenuti formativi e simulazioni. Potrebbe velocizzare la formazione oltre che collegare competenze, ruoli e mobilità interna.</t>
  </si>
  <si>
    <t>Gestione HR</t>
  </si>
  <si>
    <t>AI potrebbe aiutare Laura nel rispondere a domande su ferie, permessi, trasferte, benefit, policy, payroll, note spese, smart working, welfare, procedure interne, normative collegate e tenerci aggiornati sulle novità che non sempre vengono intercettate nella gestione dei dossier del personale. Aggiungo che potrebbe supportare anche Antonio con Laura in analisi di equità retributiva, benchmark, simulazioni salariali, segmentazione benefit. Qui è molto utile per trovare anomalie o incoerenze.</t>
  </si>
  <si>
    <t>Nota IT: Assistente AI su ferie, permessi, benefit e policy interne (no dati personali).</t>
  </si>
  <si>
    <r>
      <t xml:space="preserve">Assistente AI su ferie, permessi, benefit e policy interne (no dati personali).  </t>
    </r>
    <r>
      <rPr>
        <i/>
        <sz val="9.5"/>
        <color rgb="FF2B2F35"/>
        <rFont val="Calibri"/>
        <family val="2"/>
      </rPr>
      <t>— Assistente AI interno</t>
    </r>
  </si>
  <si>
    <t>Relazioni industriali, compliance e policy</t>
  </si>
  <si>
    <t>L’AI può aiutare Laura nella lettura di contratti, policy, regolamenti interni, normative, accordi sindacali, procedure disciplinari e documentazione HR. Non potrà sostituire i legali ma sicuramente velocizza ricerche, confronti, sintesi e bozze.</t>
  </si>
  <si>
    <t>Finance</t>
  </si>
  <si>
    <t>Gestione dei questionari ricevuti (Partner)</t>
  </si>
  <si>
    <t>Preimpostazione di check list di audit</t>
  </si>
  <si>
    <t>Gestione dei contratti (lettura, analisi, etc..)</t>
  </si>
  <si>
    <t>Ricerca documenti e contenuti</t>
  </si>
  <si>
    <t>Software ricerche giuridiche</t>
  </si>
  <si>
    <t>Riconciliazioni bancarie</t>
  </si>
  <si>
    <t>Elaborazione DSO/ rischio di credito</t>
  </si>
  <si>
    <t>Elaborati del controllo di gestione</t>
  </si>
  <si>
    <t>Data:</t>
  </si>
  <si>
    <t>Fattibilità</t>
  </si>
  <si>
    <t>Agentiche AI</t>
  </si>
  <si>
    <t>assistente AI aziendale sviluppato internamente</t>
  </si>
  <si>
    <t>assistente AI aziendale sviluppato internamente
Nativo zendesk</t>
  </si>
  <si>
    <t>Il supporto dovrebbe essere soprattutto sulla parte finanziaria delle commodities, inoltre sarebbe interessante avere delle analisi periodiche legate alla situazione geopolitica che ha sempre dei forti impatti su costi energetici, trasporto e di conseguenza sulle materie prime.</t>
  </si>
  <si>
    <t>Outbound: 2 gestione del refilling</t>
  </si>
  <si>
    <t>Outbound: 3 lotto di confezionamento di prod: in corso con il LSS)</t>
  </si>
  <si>
    <t>Alto / medio / basso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</si>
</sst>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b/>
      <sz val="11"/>
      <color theme="0"/>
      <name val="Aptos Narrow"/>
      <family val="2"/>
      <scheme val="minor"/>
    </font>
    <font>
      <sz val="11"/>
      <name val="Carlito"/>
    </font>
    <font>
      <sz val="11"/>
      <color theme="1"/>
      <name val="Franklin Gothic Book"/>
      <family val="2"/>
    </font>
    <font>
      <sz val="11"/>
      <name val="Franklin Gothic Book"/>
      <family val="2"/>
    </font>
    <font>
      <b/>
      <i/>
      <sz val="11"/>
      <color theme="0"/>
      <name val="Franklin Gothic Book"/>
      <family val="2"/>
    </font>
    <font>
      <b/>
      <i/>
      <sz val="11"/>
      <color theme="1"/>
      <name val="Franklin Gothic Book"/>
      <family val="2"/>
    </font>
    <font>
      <sz val="11"/>
      <color rgb="FF000000"/>
      <name val="Aptos"/>
      <family val="2"/>
    </font>
    <font>
      <sz val="11"/>
      <color rgb="FF242424"/>
      <name val="Aptos"/>
      <family val="2"/>
    </font>
    <font>
      <b/>
      <sz val="16"/>
      <color theme="1"/>
      <name val="Aptos Narrow"/>
      <family val="2"/>
      <scheme val="minor"/>
    </font>
    <font>
      <sz val="11"/>
      <color rgb="FFFF0000"/>
      <name val="Aptos Narrow"/>
      <family val="2"/>
      <scheme val="minor"/>
    </font>
    <font>
      <i/>
      <sz val="9.5"/>
      <color rgb="FF2B2F35"/>
      <name val="Calibri"/>
      <family val="2"/>
    </font>
  </fonts>
  <fills count="5">
    <fill>
      <patternFill patternType="none"/>
    </fill>
    <fill>
      <patternFill patternType="gray125"/>
    </fill>
    <fill>
      <patternFill patternType="solid">
        <fgColor theme="0" tint="-0.34998626667073579"/>
        <bgColor indexed="64"/>
      </patternFill>
    </fill>
    <fill>
      <patternFill patternType="solid">
        <fgColor theme="9" tint="0.79998168889431442"/>
        <bgColor indexed="64"/>
      </patternFill>
    </fill>
    <fill>
      <patternFill patternType="solid">
        <fgColor theme="7" tint="0.79998168889431442"/>
        <bgColor indexed="64"/>
      </patternFill>
    </fill>
  </fills>
  <borders count="13">
    <border>
      <left/>
      <right/>
      <top/>
      <bottom/>
      <diagonal/>
    </border>
    <border>
      <left style="dotted">
        <color auto="1"/>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style="dotted">
        <color auto="1"/>
      </right>
      <top/>
      <bottom style="dotted">
        <color auto="1"/>
      </bottom>
      <diagonal/>
    </border>
    <border>
      <left/>
      <right/>
      <top style="dotted">
        <color auto="1"/>
      </top>
      <bottom/>
      <diagonal/>
    </border>
    <border>
      <left/>
      <right/>
      <top/>
      <bottom style="dotted">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2">
    <xf numFmtId="0" fontId="0" fillId="0" borderId="0"/>
    <xf numFmtId="0" fontId="3" fillId="0" borderId="0"/>
  </cellStyleXfs>
  <cellXfs count="51">
    <xf numFmtId="0" fontId="0" fillId="0" borderId="0" xfId="0"/>
    <xf numFmtId="0" fontId="0" fillId="0" borderId="0" xfId="0" applyAlignment="1">
      <alignment horizontal="left" vertical="center" wrapText="1"/>
    </xf>
    <xf numFmtId="14" fontId="0" fillId="0" borderId="0" xfId="0" applyNumberFormat="1" applyAlignment="1">
      <alignment horizontal="left" vertical="center" wrapText="1"/>
    </xf>
    <xf numFmtId="0" fontId="6" fillId="2" borderId="0" xfId="0" applyFont="1" applyFill="1" applyAlignment="1">
      <alignment horizontal="left" vertical="center" wrapText="1"/>
    </xf>
    <xf numFmtId="0" fontId="7" fillId="0" borderId="0" xfId="0" applyFont="1" applyAlignment="1">
      <alignment horizontal="left" vertical="center" wrapText="1"/>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8" fillId="0" borderId="0" xfId="0" applyFont="1" applyAlignment="1">
      <alignment horizontal="left" vertical="center" wrapText="1" indent="1"/>
    </xf>
    <xf numFmtId="0" fontId="8" fillId="0" borderId="0" xfId="0" applyFont="1" applyAlignment="1">
      <alignment horizontal="left" vertical="center" wrapText="1" indent="6"/>
    </xf>
    <xf numFmtId="0" fontId="9" fillId="0" borderId="0" xfId="0" applyFont="1" applyAlignment="1">
      <alignment horizontal="left" vertical="center" wrapText="1" indent="1"/>
    </xf>
    <xf numFmtId="0" fontId="0" fillId="3" borderId="9" xfId="0" applyFill="1" applyBorder="1" applyAlignment="1">
      <alignment horizontal="left" vertical="center" wrapText="1"/>
    </xf>
    <xf numFmtId="0" fontId="4" fillId="3" borderId="9" xfId="1" applyFont="1" applyFill="1" applyBorder="1" applyAlignment="1">
      <alignment horizontal="left" vertical="center" wrapText="1"/>
    </xf>
    <xf numFmtId="0" fontId="4" fillId="3" borderId="9" xfId="1" applyFont="1" applyFill="1" applyBorder="1" applyAlignment="1">
      <alignment vertical="top" wrapText="1"/>
    </xf>
    <xf numFmtId="14" fontId="0" fillId="3" borderId="9" xfId="0" applyNumberFormat="1" applyFill="1" applyBorder="1" applyAlignment="1">
      <alignment horizontal="left" vertical="center" wrapText="1"/>
    </xf>
    <xf numFmtId="14" fontId="4" fillId="3" borderId="9" xfId="0" applyNumberFormat="1" applyFont="1" applyFill="1" applyBorder="1" applyAlignment="1">
      <alignment horizontal="left" vertical="center" wrapText="1"/>
    </xf>
    <xf numFmtId="0" fontId="4" fillId="3" borderId="9" xfId="0" applyFont="1" applyFill="1" applyBorder="1" applyAlignment="1">
      <alignment horizontal="left" vertical="center" wrapText="1"/>
    </xf>
    <xf numFmtId="0" fontId="0" fillId="0" borderId="9" xfId="0" applyBorder="1" applyAlignment="1">
      <alignment horizontal="left" vertical="center" wrapText="1"/>
    </xf>
    <xf numFmtId="0" fontId="4" fillId="0" borderId="9" xfId="1" applyFont="1" applyBorder="1" applyAlignment="1">
      <alignment horizontal="left" vertical="center" wrapText="1"/>
    </xf>
    <xf numFmtId="0" fontId="4" fillId="0" borderId="9" xfId="1" applyFont="1" applyBorder="1" applyAlignment="1">
      <alignment vertical="top" wrapText="1"/>
    </xf>
    <xf numFmtId="14" fontId="0" fillId="0" borderId="9" xfId="0" applyNumberFormat="1" applyBorder="1" applyAlignment="1">
      <alignment horizontal="left" vertical="center" wrapText="1"/>
    </xf>
    <xf numFmtId="0" fontId="7" fillId="0" borderId="9" xfId="0" applyFont="1" applyBorder="1" applyAlignment="1">
      <alignment horizontal="left" vertical="center" wrapText="1"/>
    </xf>
    <xf numFmtId="9" fontId="0" fillId="3" borderId="9" xfId="0" applyNumberFormat="1" applyFill="1" applyBorder="1" applyAlignment="1">
      <alignment horizontal="left" vertical="center" wrapText="1"/>
    </xf>
    <xf numFmtId="0" fontId="7" fillId="3" borderId="9" xfId="0" applyFont="1" applyFill="1" applyBorder="1" applyAlignment="1">
      <alignment horizontal="left" vertical="center" wrapText="1"/>
    </xf>
    <xf numFmtId="0" fontId="5" fillId="0" borderId="9" xfId="0" applyFont="1" applyBorder="1" applyAlignment="1">
      <alignment horizontal="left" vertical="center" wrapText="1"/>
    </xf>
    <xf numFmtId="0" fontId="5" fillId="0" borderId="9" xfId="0" applyFont="1" applyBorder="1" applyAlignment="1">
      <alignment vertical="top" wrapText="1"/>
    </xf>
    <xf numFmtId="0" fontId="4" fillId="4" borderId="9" xfId="1" applyFont="1" applyFill="1" applyBorder="1" applyAlignment="1">
      <alignment vertical="top" wrapText="1"/>
    </xf>
    <xf numFmtId="0" fontId="5" fillId="4" borderId="9" xfId="0" applyFont="1" applyFill="1" applyBorder="1" applyAlignment="1">
      <alignment vertical="top" wrapText="1"/>
    </xf>
    <xf numFmtId="0" fontId="0" fillId="4" borderId="9" xfId="0" applyFill="1" applyBorder="1" applyAlignment="1">
      <alignment horizontal="left" vertical="center" wrapText="1"/>
    </xf>
    <xf numFmtId="0" fontId="4" fillId="4" borderId="9" xfId="1" applyFont="1" applyFill="1" applyBorder="1" applyAlignment="1">
      <alignment vertical="center" wrapText="1"/>
    </xf>
    <xf numFmtId="0" fontId="5" fillId="4" borderId="9" xfId="0" applyFont="1" applyFill="1" applyBorder="1" applyAlignment="1">
      <alignment vertical="center" wrapText="1"/>
    </xf>
    <xf numFmtId="0" fontId="1" fillId="0" borderId="0" xfId="0" applyFont="1" applyAlignment="1">
      <alignment horizontal="right" vertical="center" wrapText="1"/>
    </xf>
    <xf numFmtId="14" fontId="1" fillId="0" borderId="0" xfId="0" applyNumberFormat="1" applyFont="1" applyAlignment="1">
      <alignment horizontal="left" vertical="center" wrapText="1"/>
    </xf>
    <xf numFmtId="0" fontId="0" fillId="3" borderId="9" xfId="0" applyFill="1" applyBorder="1"/>
    <xf numFmtId="0" fontId="11" fillId="3" borderId="9" xfId="0" applyFont="1" applyFill="1" applyBorder="1" applyAlignment="1">
      <alignment horizontal="left" vertical="center" wrapText="1"/>
    </xf>
    <xf numFmtId="0" fontId="0" fillId="0" borderId="9" xfId="0" applyBorder="1"/>
    <xf numFmtId="0" fontId="8" fillId="0" borderId="9" xfId="0" applyFont="1" applyBorder="1" applyAlignment="1">
      <alignment vertical="center" wrapText="1"/>
    </xf>
    <xf numFmtId="0" fontId="8" fillId="0" borderId="9" xfId="0" applyFont="1" applyBorder="1" applyAlignment="1">
      <alignment horizontal="left" vertical="center" wrapText="1" indent="1"/>
    </xf>
    <xf numFmtId="0" fontId="9" fillId="0" borderId="9" xfId="0" applyFont="1" applyBorder="1" applyAlignment="1">
      <alignment horizontal="left" vertical="center" wrapText="1" indent="1"/>
    </xf>
    <xf numFmtId="0" fontId="1" fillId="0" borderId="0" xfId="0" applyFont="1" applyAlignment="1">
      <alignment horizontal="left" vertical="center" wrapText="1"/>
    </xf>
    <xf numFmtId="0" fontId="2" fillId="2" borderId="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0" borderId="0" xfId="0" applyFont="1" applyAlignment="1">
      <alignment horizontal="center" vertical="center" wrapText="1"/>
    </xf>
    <xf numFmtId="0" fontId="10" fillId="0" borderId="0" xfId="0" applyFont="1" applyAlignment="1">
      <alignment horizontal="left" vertical="center" wrapText="1"/>
    </xf>
    <xf numFmtId="0" fontId="2" fillId="2" borderId="0" xfId="0" applyFont="1" applyFill="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cellXfs>
  <cellStyles count="2">
    <cellStyle name="Normal" xfId="1" xr:uid="{C04AE092-A842-4147-B870-E887AAC9A777}"/>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AB8BD-FEA4-4A41-A704-B9B91EABE573}">
  <dimension ref="A1:Y46"/>
  <sheetViews>
    <sheetView tabSelected="1" topLeftCell="I1" zoomScale="85" zoomScaleNormal="85" workbookViewId="0">
      <selection activeCell="E3" sqref="E3"/>
    </sheetView>
  </sheetViews>
  <sheetFormatPr defaultColWidth="8.7109375" defaultRowHeight="14.45"/>
  <cols>
    <col min="1" max="1" width="3.42578125" style="1" bestFit="1" customWidth="1"/>
    <col min="2" max="2" width="14" style="1" customWidth="1"/>
    <col min="3" max="3" width="16.5703125" style="1" bestFit="1" customWidth="1"/>
    <col min="4" max="4" width="23" style="1" customWidth="1"/>
    <col min="5" max="5" width="34.140625" style="1" customWidth="1"/>
    <col min="6" max="6" width="44" style="1" customWidth="1"/>
    <col min="7" max="7" width="15" style="1" bestFit="1" customWidth="1"/>
    <col min="8" max="8" width="33" style="1" customWidth="1"/>
    <col min="9" max="9" width="36.42578125" style="1" customWidth="1"/>
    <col min="10" max="10" width="33.140625" style="1" bestFit="1" customWidth="1"/>
    <col min="11" max="11" width="36.42578125" style="1" customWidth="1"/>
    <col min="12" max="12" width="30.140625" style="1" bestFit="1" customWidth="1"/>
    <col min="13" max="14" width="11.5703125" style="1" bestFit="1" customWidth="1"/>
    <col min="15" max="15" width="10.140625" style="1" customWidth="1"/>
    <col min="16" max="16" width="9.7109375" style="1" customWidth="1"/>
    <col min="17" max="17" width="18.140625" style="1" customWidth="1"/>
    <col min="18" max="18" width="14.85546875" style="1" bestFit="1" customWidth="1"/>
    <col min="19" max="19" width="14.140625" style="1" bestFit="1" customWidth="1"/>
    <col min="20" max="21" width="10.140625" style="1" bestFit="1" customWidth="1"/>
    <col min="22" max="22" width="5.28515625" style="1" bestFit="1" customWidth="1"/>
    <col min="23" max="23" width="13.140625" style="1" bestFit="1" customWidth="1"/>
    <col min="24" max="24" width="12.28515625" style="1" bestFit="1" customWidth="1"/>
    <col min="25" max="25" width="10.42578125" style="1" bestFit="1" customWidth="1"/>
    <col min="26" max="16384" width="8.7109375" style="1"/>
  </cols>
  <sheetData>
    <row r="1" spans="1:25" ht="14.45" customHeight="1">
      <c r="A1" s="41" t="s">
        <v>0</v>
      </c>
      <c r="B1" s="41"/>
      <c r="C1" s="41"/>
    </row>
    <row r="2" spans="1:25">
      <c r="J2" s="45" t="s">
        <v>1</v>
      </c>
      <c r="K2" s="45"/>
      <c r="L2" s="45"/>
      <c r="O2" s="42" t="s">
        <v>2</v>
      </c>
      <c r="P2" s="44"/>
      <c r="T2" s="42" t="s">
        <v>3</v>
      </c>
      <c r="U2" s="43"/>
      <c r="V2" s="44"/>
    </row>
    <row r="3" spans="1:25" s="4" customFormat="1" ht="45">
      <c r="A3" s="3" t="s">
        <v>4</v>
      </c>
      <c r="B3" s="3" t="s">
        <v>5</v>
      </c>
      <c r="C3" s="3" t="s">
        <v>6</v>
      </c>
      <c r="D3" s="3" t="s">
        <v>7</v>
      </c>
      <c r="E3" s="3" t="s">
        <v>8</v>
      </c>
      <c r="F3" s="3" t="s">
        <v>9</v>
      </c>
      <c r="G3" s="3" t="s">
        <v>10</v>
      </c>
      <c r="H3" s="3" t="s">
        <v>11</v>
      </c>
      <c r="I3" s="3" t="s">
        <v>12</v>
      </c>
      <c r="J3" s="3" t="s">
        <v>13</v>
      </c>
      <c r="K3" s="3" t="s">
        <v>14</v>
      </c>
      <c r="L3" s="3" t="s">
        <v>15</v>
      </c>
      <c r="M3" s="3" t="s">
        <v>16</v>
      </c>
      <c r="N3" s="3" t="s">
        <v>17</v>
      </c>
      <c r="O3" s="5" t="s">
        <v>18</v>
      </c>
      <c r="P3" s="6" t="s">
        <v>19</v>
      </c>
      <c r="Q3" s="3" t="s">
        <v>20</v>
      </c>
      <c r="R3" s="3" t="s">
        <v>21</v>
      </c>
      <c r="S3" s="3" t="s">
        <v>22</v>
      </c>
      <c r="T3" s="5" t="s">
        <v>23</v>
      </c>
      <c r="U3" s="3" t="s">
        <v>24</v>
      </c>
      <c r="V3" s="6" t="s">
        <v>25</v>
      </c>
      <c r="W3" s="3" t="s">
        <v>26</v>
      </c>
      <c r="X3" s="3" t="s">
        <v>27</v>
      </c>
      <c r="Y3" s="3" t="s">
        <v>28</v>
      </c>
    </row>
    <row r="4" spans="1:25" s="4" customFormat="1" ht="45">
      <c r="A4" s="13">
        <v>1</v>
      </c>
      <c r="B4" s="13" t="s">
        <v>19</v>
      </c>
      <c r="C4" s="13" t="s">
        <v>29</v>
      </c>
      <c r="D4" s="14" t="s">
        <v>30</v>
      </c>
      <c r="E4" s="14" t="s">
        <v>31</v>
      </c>
      <c r="F4" s="14" t="s">
        <v>32</v>
      </c>
      <c r="G4" s="13" t="s">
        <v>33</v>
      </c>
      <c r="H4" s="15" t="s">
        <v>34</v>
      </c>
      <c r="I4" s="15" t="s">
        <v>35</v>
      </c>
      <c r="J4" s="28" t="s">
        <v>33</v>
      </c>
      <c r="K4" s="28" t="s">
        <v>33</v>
      </c>
      <c r="L4" s="31" t="s">
        <v>36</v>
      </c>
      <c r="M4" s="13" t="s">
        <v>37</v>
      </c>
      <c r="N4" s="13" t="s">
        <v>38</v>
      </c>
      <c r="O4" s="13"/>
      <c r="P4" s="13"/>
      <c r="Q4" s="13" t="s">
        <v>39</v>
      </c>
      <c r="R4" s="16" t="s">
        <v>40</v>
      </c>
      <c r="S4" s="13"/>
      <c r="T4" s="16">
        <v>46266</v>
      </c>
      <c r="U4" s="16">
        <v>46387</v>
      </c>
      <c r="V4" s="13">
        <v>0</v>
      </c>
      <c r="W4" s="17">
        <f>+U4+1</f>
        <v>46388</v>
      </c>
      <c r="X4" s="17">
        <f>+W4</f>
        <v>46388</v>
      </c>
      <c r="Y4" s="18" t="s">
        <v>41</v>
      </c>
    </row>
    <row r="5" spans="1:25" s="4" customFormat="1" ht="90">
      <c r="A5" s="19">
        <f>+A4+1</f>
        <v>2</v>
      </c>
      <c r="B5" s="19" t="s">
        <v>42</v>
      </c>
      <c r="C5" s="19" t="s">
        <v>29</v>
      </c>
      <c r="D5" s="20" t="s">
        <v>43</v>
      </c>
      <c r="E5" s="20" t="s">
        <v>44</v>
      </c>
      <c r="F5" s="20" t="s">
        <v>45</v>
      </c>
      <c r="G5" s="19">
        <v>1</v>
      </c>
      <c r="H5" s="21" t="s">
        <v>45</v>
      </c>
      <c r="I5" s="21" t="s">
        <v>46</v>
      </c>
      <c r="J5" s="28"/>
      <c r="K5" s="28"/>
      <c r="L5" s="31"/>
      <c r="M5" s="19"/>
      <c r="N5" s="19"/>
      <c r="O5" s="19"/>
      <c r="P5" s="19"/>
      <c r="Q5" s="19"/>
      <c r="R5" s="22"/>
      <c r="S5" s="19"/>
      <c r="T5" s="19"/>
      <c r="U5" s="19"/>
      <c r="V5" s="19"/>
      <c r="W5" s="23"/>
      <c r="X5" s="23"/>
      <c r="Y5" s="23"/>
    </row>
    <row r="6" spans="1:25" s="4" customFormat="1" ht="60">
      <c r="A6" s="19">
        <f>+A5+1</f>
        <v>3</v>
      </c>
      <c r="B6" s="19" t="s">
        <v>42</v>
      </c>
      <c r="C6" s="19" t="s">
        <v>29</v>
      </c>
      <c r="D6" s="20" t="s">
        <v>47</v>
      </c>
      <c r="E6" s="20" t="s">
        <v>48</v>
      </c>
      <c r="F6" s="20" t="s">
        <v>49</v>
      </c>
      <c r="G6" s="19">
        <v>2</v>
      </c>
      <c r="H6" s="21" t="s">
        <v>49</v>
      </c>
      <c r="I6" s="21" t="s">
        <v>50</v>
      </c>
      <c r="J6" s="28"/>
      <c r="K6" s="28"/>
      <c r="L6" s="31"/>
      <c r="M6" s="19"/>
      <c r="N6" s="19"/>
      <c r="O6" s="19"/>
      <c r="P6" s="19"/>
      <c r="Q6" s="19"/>
      <c r="R6" s="22">
        <v>46154</v>
      </c>
      <c r="S6" s="19"/>
      <c r="T6" s="19"/>
      <c r="U6" s="19"/>
      <c r="V6" s="19"/>
      <c r="W6" s="23"/>
      <c r="X6" s="23"/>
      <c r="Y6" s="23"/>
    </row>
    <row r="7" spans="1:25" s="4" customFormat="1" ht="60">
      <c r="A7" s="13">
        <f t="shared" ref="A7:A46" si="0">+A6+1</f>
        <v>4</v>
      </c>
      <c r="B7" s="13" t="s">
        <v>42</v>
      </c>
      <c r="C7" s="13" t="s">
        <v>29</v>
      </c>
      <c r="D7" s="14" t="s">
        <v>51</v>
      </c>
      <c r="E7" s="14" t="s">
        <v>52</v>
      </c>
      <c r="F7" s="14" t="s">
        <v>53</v>
      </c>
      <c r="G7" s="13">
        <v>2</v>
      </c>
      <c r="H7" s="15" t="s">
        <v>53</v>
      </c>
      <c r="I7" s="15" t="s">
        <v>54</v>
      </c>
      <c r="J7" s="28"/>
      <c r="K7" s="28"/>
      <c r="L7" s="31" t="s">
        <v>55</v>
      </c>
      <c r="M7" s="13"/>
      <c r="N7" s="13"/>
      <c r="O7" s="13"/>
      <c r="P7" s="13"/>
      <c r="Q7" s="13" t="s">
        <v>56</v>
      </c>
      <c r="R7" s="16">
        <v>46154</v>
      </c>
      <c r="S7" s="13" t="s">
        <v>57</v>
      </c>
      <c r="T7" s="13"/>
      <c r="U7" s="13"/>
      <c r="V7" s="24">
        <v>0.9</v>
      </c>
      <c r="W7" s="25"/>
      <c r="X7" s="25"/>
      <c r="Y7" s="18" t="s">
        <v>41</v>
      </c>
    </row>
    <row r="8" spans="1:25" s="4" customFormat="1" ht="45">
      <c r="A8" s="19">
        <f t="shared" si="0"/>
        <v>5</v>
      </c>
      <c r="B8" s="19" t="s">
        <v>42</v>
      </c>
      <c r="C8" s="19" t="s">
        <v>29</v>
      </c>
      <c r="D8" s="20" t="s">
        <v>58</v>
      </c>
      <c r="E8" s="20" t="s">
        <v>59</v>
      </c>
      <c r="F8" s="20" t="s">
        <v>60</v>
      </c>
      <c r="G8" s="19">
        <v>3</v>
      </c>
      <c r="H8" s="21" t="s">
        <v>60</v>
      </c>
      <c r="I8" s="21" t="s">
        <v>61</v>
      </c>
      <c r="J8" s="28"/>
      <c r="K8" s="28"/>
      <c r="L8" s="31"/>
      <c r="M8" s="19"/>
      <c r="N8" s="19"/>
      <c r="O8" s="19"/>
      <c r="P8" s="19"/>
      <c r="Q8" s="19"/>
      <c r="R8" s="22">
        <v>46154</v>
      </c>
      <c r="S8" s="19"/>
      <c r="T8" s="19"/>
      <c r="U8" s="19"/>
      <c r="V8" s="19"/>
      <c r="W8" s="23"/>
      <c r="X8" s="23"/>
      <c r="Y8" s="23"/>
    </row>
    <row r="9" spans="1:25" s="4" customFormat="1" ht="45">
      <c r="A9" s="19">
        <f t="shared" si="0"/>
        <v>6</v>
      </c>
      <c r="B9" s="19" t="s">
        <v>42</v>
      </c>
      <c r="C9" s="19" t="s">
        <v>29</v>
      </c>
      <c r="D9" s="20" t="s">
        <v>62</v>
      </c>
      <c r="E9" s="20" t="s">
        <v>63</v>
      </c>
      <c r="F9" s="20" t="s">
        <v>64</v>
      </c>
      <c r="G9" s="19">
        <v>3</v>
      </c>
      <c r="H9" s="21" t="s">
        <v>64</v>
      </c>
      <c r="I9" s="21" t="s">
        <v>65</v>
      </c>
      <c r="J9" s="28"/>
      <c r="K9" s="28"/>
      <c r="L9" s="31"/>
      <c r="M9" s="19"/>
      <c r="N9" s="19"/>
      <c r="O9" s="19"/>
      <c r="P9" s="19"/>
      <c r="Q9" s="19"/>
      <c r="R9" s="22">
        <v>46154</v>
      </c>
      <c r="S9" s="19"/>
      <c r="T9" s="19"/>
      <c r="U9" s="19"/>
      <c r="V9" s="19"/>
      <c r="W9" s="23"/>
      <c r="X9" s="23"/>
      <c r="Y9" s="23"/>
    </row>
    <row r="10" spans="1:25" s="4" customFormat="1" ht="60">
      <c r="A10" s="19">
        <f t="shared" si="0"/>
        <v>7</v>
      </c>
      <c r="B10" s="19" t="s">
        <v>42</v>
      </c>
      <c r="C10" s="19" t="s">
        <v>29</v>
      </c>
      <c r="D10" s="20" t="s">
        <v>66</v>
      </c>
      <c r="E10" s="20" t="s">
        <v>67</v>
      </c>
      <c r="F10" s="20" t="s">
        <v>68</v>
      </c>
      <c r="G10" s="19">
        <v>3</v>
      </c>
      <c r="H10" s="21" t="s">
        <v>68</v>
      </c>
      <c r="I10" s="21" t="s">
        <v>69</v>
      </c>
      <c r="J10" s="28"/>
      <c r="K10" s="28"/>
      <c r="L10" s="31"/>
      <c r="M10" s="19"/>
      <c r="N10" s="19"/>
      <c r="O10" s="19"/>
      <c r="P10" s="19"/>
      <c r="Q10" s="19"/>
      <c r="R10" s="22">
        <v>46154</v>
      </c>
      <c r="S10" s="19"/>
      <c r="T10" s="19"/>
      <c r="U10" s="19"/>
      <c r="V10" s="19"/>
      <c r="W10" s="23"/>
      <c r="X10" s="23"/>
      <c r="Y10" s="23"/>
    </row>
    <row r="11" spans="1:25" s="4" customFormat="1" ht="45">
      <c r="A11" s="19">
        <f t="shared" si="0"/>
        <v>8</v>
      </c>
      <c r="B11" s="19" t="s">
        <v>42</v>
      </c>
      <c r="C11" s="19" t="s">
        <v>29</v>
      </c>
      <c r="D11" s="20" t="s">
        <v>70</v>
      </c>
      <c r="E11" s="20" t="s">
        <v>71</v>
      </c>
      <c r="F11" s="20" t="s">
        <v>72</v>
      </c>
      <c r="G11" s="19">
        <v>4</v>
      </c>
      <c r="H11" s="21" t="s">
        <v>72</v>
      </c>
      <c r="I11" s="21" t="s">
        <v>73</v>
      </c>
      <c r="J11" s="28"/>
      <c r="K11" s="28"/>
      <c r="L11" s="31"/>
      <c r="M11" s="19"/>
      <c r="N11" s="19"/>
      <c r="O11" s="19"/>
      <c r="P11" s="19"/>
      <c r="Q11" s="19"/>
      <c r="R11" s="22">
        <v>46154</v>
      </c>
      <c r="S11" s="19"/>
      <c r="T11" s="19"/>
      <c r="U11" s="19"/>
      <c r="V11" s="19"/>
      <c r="W11" s="23"/>
      <c r="X11" s="23"/>
      <c r="Y11" s="23"/>
    </row>
    <row r="12" spans="1:25" s="4" customFormat="1" ht="60">
      <c r="A12" s="19">
        <f t="shared" si="0"/>
        <v>9</v>
      </c>
      <c r="B12" s="19" t="s">
        <v>42</v>
      </c>
      <c r="C12" s="19" t="s">
        <v>29</v>
      </c>
      <c r="D12" s="20" t="s">
        <v>74</v>
      </c>
      <c r="E12" s="20" t="s">
        <v>75</v>
      </c>
      <c r="F12" s="20" t="s">
        <v>76</v>
      </c>
      <c r="G12" s="19">
        <v>5</v>
      </c>
      <c r="H12" s="21" t="s">
        <v>76</v>
      </c>
      <c r="I12" s="21" t="s">
        <v>77</v>
      </c>
      <c r="J12" s="28"/>
      <c r="K12" s="28"/>
      <c r="L12" s="31"/>
      <c r="M12" s="19"/>
      <c r="N12" s="19"/>
      <c r="O12" s="19"/>
      <c r="P12" s="19"/>
      <c r="Q12" s="19"/>
      <c r="R12" s="22">
        <v>46154</v>
      </c>
      <c r="S12" s="19"/>
      <c r="T12" s="19"/>
      <c r="U12" s="19"/>
      <c r="V12" s="19"/>
      <c r="W12" s="23"/>
      <c r="X12" s="23"/>
      <c r="Y12" s="23"/>
    </row>
    <row r="13" spans="1:25" s="4" customFormat="1" ht="60">
      <c r="A13" s="19">
        <f t="shared" si="0"/>
        <v>10</v>
      </c>
      <c r="B13" s="19" t="s">
        <v>42</v>
      </c>
      <c r="C13" s="19" t="s">
        <v>29</v>
      </c>
      <c r="D13" s="20" t="s">
        <v>78</v>
      </c>
      <c r="E13" s="20" t="s">
        <v>79</v>
      </c>
      <c r="F13" s="20" t="s">
        <v>80</v>
      </c>
      <c r="G13" s="19">
        <v>6</v>
      </c>
      <c r="H13" s="21" t="s">
        <v>80</v>
      </c>
      <c r="I13" s="21" t="s">
        <v>81</v>
      </c>
      <c r="J13" s="28"/>
      <c r="K13" s="28"/>
      <c r="L13" s="31"/>
      <c r="M13" s="19"/>
      <c r="N13" s="19"/>
      <c r="O13" s="19"/>
      <c r="P13" s="19"/>
      <c r="Q13" s="19"/>
      <c r="R13" s="22">
        <v>46154</v>
      </c>
      <c r="S13" s="19"/>
      <c r="T13" s="19"/>
      <c r="U13" s="19"/>
      <c r="V13" s="19"/>
      <c r="W13" s="23"/>
      <c r="X13" s="23"/>
      <c r="Y13" s="23"/>
    </row>
    <row r="14" spans="1:25" s="4" customFormat="1" ht="45">
      <c r="A14" s="19">
        <f t="shared" si="0"/>
        <v>11</v>
      </c>
      <c r="B14" s="19" t="s">
        <v>42</v>
      </c>
      <c r="C14" s="19" t="s">
        <v>29</v>
      </c>
      <c r="D14" s="20" t="s">
        <v>82</v>
      </c>
      <c r="E14" s="20" t="s">
        <v>83</v>
      </c>
      <c r="F14" s="20" t="s">
        <v>84</v>
      </c>
      <c r="G14" s="19">
        <v>7</v>
      </c>
      <c r="H14" s="21" t="s">
        <v>84</v>
      </c>
      <c r="I14" s="21" t="s">
        <v>85</v>
      </c>
      <c r="J14" s="28"/>
      <c r="K14" s="28"/>
      <c r="L14" s="31"/>
      <c r="M14" s="19"/>
      <c r="N14" s="19"/>
      <c r="O14" s="19"/>
      <c r="P14" s="19"/>
      <c r="Q14" s="19"/>
      <c r="R14" s="22">
        <v>46154</v>
      </c>
      <c r="S14" s="19"/>
      <c r="T14" s="19"/>
      <c r="U14" s="19"/>
      <c r="V14" s="19"/>
      <c r="W14" s="23"/>
      <c r="X14" s="23"/>
      <c r="Y14" s="23"/>
    </row>
    <row r="15" spans="1:25" s="4" customFormat="1" ht="45">
      <c r="A15" s="19">
        <f t="shared" si="0"/>
        <v>12</v>
      </c>
      <c r="B15" s="19" t="s">
        <v>42</v>
      </c>
      <c r="C15" s="19" t="s">
        <v>29</v>
      </c>
      <c r="D15" s="20" t="s">
        <v>86</v>
      </c>
      <c r="E15" s="20" t="s">
        <v>87</v>
      </c>
      <c r="F15" s="20" t="s">
        <v>88</v>
      </c>
      <c r="G15" s="19">
        <v>8</v>
      </c>
      <c r="H15" s="21" t="s">
        <v>88</v>
      </c>
      <c r="I15" s="21" t="s">
        <v>89</v>
      </c>
      <c r="J15" s="28"/>
      <c r="K15" s="28"/>
      <c r="L15" s="31"/>
      <c r="M15" s="19"/>
      <c r="N15" s="19"/>
      <c r="O15" s="19"/>
      <c r="P15" s="19"/>
      <c r="Q15" s="19"/>
      <c r="R15" s="22">
        <v>46154</v>
      </c>
      <c r="S15" s="19"/>
      <c r="T15" s="19"/>
      <c r="U15" s="19"/>
      <c r="V15" s="19"/>
      <c r="W15" s="23"/>
      <c r="X15" s="23"/>
      <c r="Y15" s="23"/>
    </row>
    <row r="16" spans="1:25" s="4" customFormat="1" ht="60">
      <c r="A16" s="19">
        <f t="shared" si="0"/>
        <v>13</v>
      </c>
      <c r="B16" s="19" t="s">
        <v>42</v>
      </c>
      <c r="C16" s="19" t="s">
        <v>29</v>
      </c>
      <c r="D16" s="20" t="s">
        <v>90</v>
      </c>
      <c r="E16" s="20" t="s">
        <v>91</v>
      </c>
      <c r="F16" s="20" t="s">
        <v>92</v>
      </c>
      <c r="G16" s="19">
        <v>10</v>
      </c>
      <c r="H16" s="21" t="s">
        <v>92</v>
      </c>
      <c r="I16" s="21" t="s">
        <v>93</v>
      </c>
      <c r="J16" s="28"/>
      <c r="K16" s="28"/>
      <c r="L16" s="31"/>
      <c r="M16" s="19"/>
      <c r="N16" s="19"/>
      <c r="O16" s="19"/>
      <c r="P16" s="19"/>
      <c r="Q16" s="19"/>
      <c r="R16" s="22">
        <v>46154</v>
      </c>
      <c r="S16" s="19"/>
      <c r="T16" s="19"/>
      <c r="U16" s="19"/>
      <c r="V16" s="19"/>
      <c r="W16" s="23"/>
      <c r="X16" s="23"/>
      <c r="Y16" s="23"/>
    </row>
    <row r="17" spans="1:25" s="4" customFormat="1" ht="90">
      <c r="A17" s="19">
        <f t="shared" si="0"/>
        <v>14</v>
      </c>
      <c r="B17" s="19" t="s">
        <v>42</v>
      </c>
      <c r="C17" s="19" t="s">
        <v>94</v>
      </c>
      <c r="D17" s="26" t="s">
        <v>95</v>
      </c>
      <c r="E17" s="26" t="s">
        <v>96</v>
      </c>
      <c r="F17" s="27" t="s">
        <v>97</v>
      </c>
      <c r="G17" s="19">
        <v>1</v>
      </c>
      <c r="H17" s="27" t="s">
        <v>97</v>
      </c>
      <c r="I17" s="27" t="s">
        <v>98</v>
      </c>
      <c r="J17" s="29"/>
      <c r="K17" s="29"/>
      <c r="L17" s="32"/>
      <c r="M17" s="19"/>
      <c r="N17" s="19"/>
      <c r="O17" s="19"/>
      <c r="P17" s="19"/>
      <c r="Q17" s="19"/>
      <c r="R17" s="22">
        <v>46154</v>
      </c>
      <c r="S17" s="19"/>
      <c r="T17" s="19"/>
      <c r="U17" s="19"/>
      <c r="V17" s="19"/>
      <c r="W17" s="23"/>
      <c r="X17" s="23"/>
      <c r="Y17" s="23"/>
    </row>
    <row r="18" spans="1:25" s="4" customFormat="1" ht="120">
      <c r="A18" s="19">
        <f t="shared" si="0"/>
        <v>15</v>
      </c>
      <c r="B18" s="19" t="s">
        <v>42</v>
      </c>
      <c r="C18" s="19" t="s">
        <v>94</v>
      </c>
      <c r="D18" s="26" t="s">
        <v>99</v>
      </c>
      <c r="E18" s="26" t="s">
        <v>100</v>
      </c>
      <c r="F18" s="27" t="s">
        <v>101</v>
      </c>
      <c r="G18" s="19">
        <v>2</v>
      </c>
      <c r="H18" s="27" t="s">
        <v>101</v>
      </c>
      <c r="I18" s="27" t="s">
        <v>102</v>
      </c>
      <c r="J18" s="29"/>
      <c r="K18" s="29"/>
      <c r="L18" s="32"/>
      <c r="M18" s="19"/>
      <c r="N18" s="19"/>
      <c r="O18" s="19"/>
      <c r="P18" s="19"/>
      <c r="Q18" s="19"/>
      <c r="R18" s="22">
        <v>46154</v>
      </c>
      <c r="S18" s="19"/>
      <c r="T18" s="19"/>
      <c r="U18" s="19"/>
      <c r="V18" s="19"/>
      <c r="W18" s="23"/>
      <c r="X18" s="23"/>
      <c r="Y18" s="23"/>
    </row>
    <row r="19" spans="1:25" s="4" customFormat="1" ht="159.6">
      <c r="A19" s="13">
        <f t="shared" si="0"/>
        <v>16</v>
      </c>
      <c r="B19" s="13" t="s">
        <v>103</v>
      </c>
      <c r="C19" s="13" t="s">
        <v>29</v>
      </c>
      <c r="D19" s="13" t="s">
        <v>104</v>
      </c>
      <c r="E19" s="13" t="s">
        <v>105</v>
      </c>
      <c r="F19" s="13" t="s">
        <v>106</v>
      </c>
      <c r="G19" s="13" t="s">
        <v>107</v>
      </c>
      <c r="H19" s="13" t="s">
        <v>108</v>
      </c>
      <c r="I19" s="13"/>
      <c r="J19" s="30"/>
      <c r="K19" s="30"/>
      <c r="L19" s="31" t="s">
        <v>109</v>
      </c>
      <c r="M19" s="13"/>
      <c r="N19" s="13"/>
      <c r="O19" s="13"/>
      <c r="P19" s="13"/>
      <c r="Q19" s="13" t="s">
        <v>56</v>
      </c>
      <c r="R19" s="16">
        <v>46139</v>
      </c>
      <c r="S19" s="13" t="s">
        <v>57</v>
      </c>
      <c r="T19" s="13"/>
      <c r="U19" s="13"/>
      <c r="V19" s="24">
        <v>0.9</v>
      </c>
      <c r="W19" s="25"/>
      <c r="X19" s="25"/>
      <c r="Y19" s="18" t="s">
        <v>41</v>
      </c>
    </row>
    <row r="20" spans="1:25" s="4" customFormat="1" ht="144.94999999999999">
      <c r="A20" s="13">
        <f t="shared" si="0"/>
        <v>17</v>
      </c>
      <c r="B20" s="13" t="s">
        <v>103</v>
      </c>
      <c r="C20" s="13" t="s">
        <v>29</v>
      </c>
      <c r="D20" s="13" t="s">
        <v>110</v>
      </c>
      <c r="E20" s="13" t="s">
        <v>111</v>
      </c>
      <c r="F20" s="13" t="s">
        <v>112</v>
      </c>
      <c r="G20" s="13" t="s">
        <v>107</v>
      </c>
      <c r="H20" s="13" t="s">
        <v>113</v>
      </c>
      <c r="I20" s="13"/>
      <c r="J20" s="30"/>
      <c r="K20" s="30"/>
      <c r="L20" s="31" t="s">
        <v>114</v>
      </c>
      <c r="M20" s="13"/>
      <c r="N20" s="13"/>
      <c r="O20" s="13" t="s">
        <v>115</v>
      </c>
      <c r="P20" s="13"/>
      <c r="Q20" s="13" t="s">
        <v>56</v>
      </c>
      <c r="R20" s="16">
        <v>46139</v>
      </c>
      <c r="S20" s="13" t="s">
        <v>57</v>
      </c>
      <c r="T20" s="13"/>
      <c r="U20" s="13"/>
      <c r="V20" s="24">
        <v>0.9</v>
      </c>
      <c r="W20" s="25"/>
      <c r="X20" s="25"/>
      <c r="Y20" s="18" t="s">
        <v>41</v>
      </c>
    </row>
    <row r="21" spans="1:25" s="4" customFormat="1" ht="57.95">
      <c r="A21" s="19">
        <f t="shared" si="0"/>
        <v>18</v>
      </c>
      <c r="B21" s="19" t="s">
        <v>103</v>
      </c>
      <c r="C21" s="19" t="s">
        <v>29</v>
      </c>
      <c r="D21" s="19" t="s">
        <v>116</v>
      </c>
      <c r="E21" s="19"/>
      <c r="F21" s="19"/>
      <c r="G21" s="19" t="s">
        <v>117</v>
      </c>
      <c r="H21" s="19"/>
      <c r="I21" s="19"/>
      <c r="J21" s="30"/>
      <c r="K21" s="30"/>
      <c r="L21" s="30"/>
      <c r="M21" s="19"/>
      <c r="N21" s="19"/>
      <c r="O21" s="19"/>
      <c r="P21" s="19"/>
      <c r="Q21" s="19"/>
      <c r="R21" s="22">
        <v>46164</v>
      </c>
      <c r="S21" s="19"/>
      <c r="T21" s="19"/>
      <c r="U21" s="19"/>
      <c r="V21" s="19"/>
      <c r="W21" s="23"/>
      <c r="X21" s="23"/>
      <c r="Y21" s="23"/>
    </row>
    <row r="22" spans="1:25" s="4" customFormat="1" ht="188.45">
      <c r="A22" s="13">
        <f t="shared" si="0"/>
        <v>19</v>
      </c>
      <c r="B22" s="13" t="s">
        <v>118</v>
      </c>
      <c r="C22" s="35" t="s">
        <v>119</v>
      </c>
      <c r="D22" s="13" t="s">
        <v>120</v>
      </c>
      <c r="E22" s="13" t="s">
        <v>121</v>
      </c>
      <c r="F22" s="36" t="s">
        <v>122</v>
      </c>
      <c r="G22" s="13"/>
      <c r="H22" s="13" t="s">
        <v>123</v>
      </c>
      <c r="I22" s="13"/>
      <c r="J22" s="30"/>
      <c r="K22" s="30"/>
      <c r="L22" s="31" t="s">
        <v>124</v>
      </c>
      <c r="M22" s="13" t="s">
        <v>125</v>
      </c>
      <c r="N22" s="13"/>
      <c r="O22" s="13"/>
      <c r="P22" s="13"/>
      <c r="Q22" s="13"/>
      <c r="R22" s="13"/>
      <c r="S22" s="13"/>
      <c r="T22" s="13"/>
      <c r="U22" s="13"/>
      <c r="V22" s="13"/>
      <c r="W22" s="25"/>
      <c r="X22" s="25"/>
      <c r="Y22" s="25"/>
    </row>
    <row r="23" spans="1:25" s="4" customFormat="1" ht="130.5">
      <c r="A23" s="19">
        <f t="shared" si="0"/>
        <v>20</v>
      </c>
      <c r="B23" s="19" t="s">
        <v>118</v>
      </c>
      <c r="C23" s="37" t="s">
        <v>119</v>
      </c>
      <c r="D23" s="19" t="s">
        <v>126</v>
      </c>
      <c r="E23" s="19" t="s">
        <v>127</v>
      </c>
      <c r="F23" s="19"/>
      <c r="G23" s="19"/>
      <c r="H23" s="19" t="s">
        <v>128</v>
      </c>
      <c r="I23" s="19"/>
      <c r="J23" s="30"/>
      <c r="K23" s="30"/>
      <c r="L23" s="30"/>
      <c r="M23" s="19" t="s">
        <v>129</v>
      </c>
      <c r="N23" s="19"/>
      <c r="O23" s="19"/>
      <c r="P23" s="19"/>
      <c r="Q23" s="19"/>
      <c r="R23" s="19"/>
      <c r="S23" s="19"/>
      <c r="T23" s="19"/>
      <c r="U23" s="19"/>
      <c r="V23" s="19"/>
      <c r="W23" s="23"/>
      <c r="X23" s="23"/>
      <c r="Y23" s="23"/>
    </row>
    <row r="24" spans="1:25" ht="87">
      <c r="A24" s="19">
        <f t="shared" si="0"/>
        <v>21</v>
      </c>
      <c r="B24" s="19" t="s">
        <v>118</v>
      </c>
      <c r="C24" s="37" t="s">
        <v>119</v>
      </c>
      <c r="D24" s="19" t="s">
        <v>130</v>
      </c>
      <c r="E24" s="19" t="s">
        <v>131</v>
      </c>
      <c r="F24" s="19"/>
      <c r="G24" s="19"/>
      <c r="H24" s="19" t="s">
        <v>132</v>
      </c>
      <c r="I24" s="19"/>
      <c r="J24" s="30"/>
      <c r="K24" s="30"/>
      <c r="L24" s="30"/>
      <c r="M24" s="19" t="s">
        <v>133</v>
      </c>
      <c r="N24" s="19"/>
      <c r="O24" s="19"/>
      <c r="P24" s="19"/>
      <c r="Q24" s="19"/>
      <c r="R24" s="19"/>
      <c r="S24" s="19"/>
      <c r="T24" s="19"/>
      <c r="U24" s="19"/>
      <c r="V24" s="19"/>
      <c r="W24" s="19"/>
      <c r="X24" s="19"/>
      <c r="Y24" s="19"/>
    </row>
    <row r="25" spans="1:25" ht="116.1">
      <c r="A25" s="19">
        <f t="shared" si="0"/>
        <v>22</v>
      </c>
      <c r="B25" s="19" t="s">
        <v>118</v>
      </c>
      <c r="C25" s="37" t="s">
        <v>119</v>
      </c>
      <c r="D25" s="19" t="s">
        <v>134</v>
      </c>
      <c r="E25" s="19" t="s">
        <v>135</v>
      </c>
      <c r="F25" s="19"/>
      <c r="G25" s="19"/>
      <c r="H25" s="19" t="s">
        <v>136</v>
      </c>
      <c r="I25" s="19"/>
      <c r="J25" s="30"/>
      <c r="K25" s="30"/>
      <c r="L25" s="30"/>
      <c r="M25" s="19" t="s">
        <v>133</v>
      </c>
      <c r="N25" s="19"/>
      <c r="O25" s="19"/>
      <c r="P25" s="19"/>
      <c r="Q25" s="19"/>
      <c r="R25" s="19"/>
      <c r="S25" s="19"/>
      <c r="T25" s="19"/>
      <c r="U25" s="19"/>
      <c r="V25" s="19"/>
      <c r="W25" s="19"/>
      <c r="X25" s="19"/>
      <c r="Y25" s="19"/>
    </row>
    <row r="26" spans="1:25" ht="56.1">
      <c r="A26" s="13">
        <f t="shared" si="0"/>
        <v>23</v>
      </c>
      <c r="B26" s="13" t="s">
        <v>137</v>
      </c>
      <c r="C26" s="13" t="s">
        <v>29</v>
      </c>
      <c r="D26" s="13" t="s">
        <v>138</v>
      </c>
      <c r="E26" s="13" t="s">
        <v>139</v>
      </c>
      <c r="F26" s="13"/>
      <c r="G26" s="13">
        <v>1</v>
      </c>
      <c r="H26" s="13" t="s">
        <v>140</v>
      </c>
      <c r="I26" s="13" t="s">
        <v>141</v>
      </c>
      <c r="J26" s="30"/>
      <c r="K26" s="30"/>
      <c r="L26" s="30" t="s">
        <v>142</v>
      </c>
      <c r="M26" s="13"/>
      <c r="N26" s="13"/>
      <c r="O26" s="13"/>
      <c r="P26" s="13"/>
      <c r="Q26" s="13"/>
      <c r="R26" s="13"/>
      <c r="S26" s="13"/>
      <c r="T26" s="13"/>
      <c r="U26" s="13"/>
      <c r="V26" s="13"/>
      <c r="W26" s="13"/>
      <c r="X26" s="13"/>
      <c r="Y26" s="13"/>
    </row>
    <row r="27" spans="1:25" ht="43.5">
      <c r="A27" s="19">
        <f t="shared" si="0"/>
        <v>24</v>
      </c>
      <c r="B27" s="19" t="s">
        <v>137</v>
      </c>
      <c r="C27" s="19" t="s">
        <v>29</v>
      </c>
      <c r="D27" s="19" t="s">
        <v>143</v>
      </c>
      <c r="E27" s="19" t="s">
        <v>144</v>
      </c>
      <c r="F27" s="19"/>
      <c r="G27" s="19"/>
      <c r="H27" s="19" t="s">
        <v>145</v>
      </c>
      <c r="I27" s="19" t="s">
        <v>146</v>
      </c>
      <c r="J27" s="30"/>
      <c r="K27" s="30"/>
      <c r="L27" s="30"/>
      <c r="M27" s="19"/>
      <c r="N27" s="19"/>
      <c r="O27" s="19"/>
      <c r="P27" s="19"/>
      <c r="Q27" s="19"/>
      <c r="R27" s="19"/>
      <c r="S27" s="19"/>
      <c r="T27" s="19"/>
      <c r="U27" s="19"/>
      <c r="V27" s="19"/>
      <c r="W27" s="19"/>
      <c r="X27" s="19"/>
      <c r="Y27" s="19"/>
    </row>
    <row r="28" spans="1:25" ht="57.95">
      <c r="A28" s="19">
        <f t="shared" si="0"/>
        <v>25</v>
      </c>
      <c r="B28" s="19" t="s">
        <v>137</v>
      </c>
      <c r="C28" s="19" t="s">
        <v>29</v>
      </c>
      <c r="D28" s="19" t="s">
        <v>147</v>
      </c>
      <c r="E28" s="38" t="s">
        <v>148</v>
      </c>
      <c r="F28" s="19"/>
      <c r="G28" s="19"/>
      <c r="H28" s="38" t="s">
        <v>149</v>
      </c>
      <c r="I28" s="38" t="s">
        <v>150</v>
      </c>
      <c r="J28" s="30"/>
      <c r="K28" s="30"/>
      <c r="L28" s="30"/>
      <c r="M28" s="19"/>
      <c r="N28" s="19"/>
      <c r="O28" s="19"/>
      <c r="P28" s="19"/>
      <c r="Q28" s="19"/>
      <c r="R28" s="19"/>
      <c r="S28" s="19"/>
      <c r="T28" s="19"/>
      <c r="U28" s="19"/>
      <c r="V28" s="19"/>
      <c r="W28" s="19"/>
      <c r="X28" s="19"/>
      <c r="Y28" s="19"/>
    </row>
    <row r="29" spans="1:25" ht="87">
      <c r="A29" s="19">
        <f t="shared" si="0"/>
        <v>26</v>
      </c>
      <c r="B29" s="19" t="s">
        <v>137</v>
      </c>
      <c r="C29" s="19" t="s">
        <v>29</v>
      </c>
      <c r="D29" s="19" t="s">
        <v>151</v>
      </c>
      <c r="E29" s="38" t="s">
        <v>152</v>
      </c>
      <c r="F29" s="19"/>
      <c r="G29" s="19">
        <v>1</v>
      </c>
      <c r="H29" s="39" t="s">
        <v>153</v>
      </c>
      <c r="I29" s="19" t="s">
        <v>154</v>
      </c>
      <c r="J29" s="30"/>
      <c r="K29" s="30"/>
      <c r="L29" s="30"/>
      <c r="M29" s="19"/>
      <c r="N29" s="19"/>
      <c r="O29" s="19"/>
      <c r="P29" s="19"/>
      <c r="Q29" s="19"/>
      <c r="R29" s="19"/>
      <c r="S29" s="19"/>
      <c r="T29" s="19"/>
      <c r="U29" s="19"/>
      <c r="V29" s="19"/>
      <c r="W29" s="19"/>
      <c r="X29" s="19"/>
      <c r="Y29" s="19"/>
    </row>
    <row r="30" spans="1:25" ht="57.95">
      <c r="A30" s="19">
        <f t="shared" si="0"/>
        <v>27</v>
      </c>
      <c r="B30" s="19" t="s">
        <v>137</v>
      </c>
      <c r="C30" s="19" t="s">
        <v>29</v>
      </c>
      <c r="D30" s="19" t="s">
        <v>155</v>
      </c>
      <c r="E30" s="19" t="s">
        <v>156</v>
      </c>
      <c r="F30" s="19"/>
      <c r="G30" s="19"/>
      <c r="H30" s="19" t="s">
        <v>157</v>
      </c>
      <c r="I30" s="19" t="s">
        <v>158</v>
      </c>
      <c r="J30" s="30"/>
      <c r="K30" s="30"/>
      <c r="L30" s="30"/>
      <c r="M30" s="19"/>
      <c r="N30" s="19"/>
      <c r="O30" s="19"/>
      <c r="P30" s="19"/>
      <c r="Q30" s="19"/>
      <c r="R30" s="19"/>
      <c r="S30" s="19"/>
      <c r="T30" s="19"/>
      <c r="U30" s="19"/>
      <c r="V30" s="19"/>
      <c r="W30" s="19"/>
      <c r="X30" s="19"/>
      <c r="Y30" s="19"/>
    </row>
    <row r="31" spans="1:25" ht="57.95">
      <c r="A31" s="19">
        <f t="shared" si="0"/>
        <v>28</v>
      </c>
      <c r="B31" s="19" t="s">
        <v>137</v>
      </c>
      <c r="C31" s="19" t="s">
        <v>29</v>
      </c>
      <c r="D31" s="19" t="s">
        <v>159</v>
      </c>
      <c r="E31" s="19" t="s">
        <v>160</v>
      </c>
      <c r="F31" s="19"/>
      <c r="G31" s="19"/>
      <c r="H31" s="19" t="s">
        <v>161</v>
      </c>
      <c r="I31" s="19" t="s">
        <v>162</v>
      </c>
      <c r="J31" s="30"/>
      <c r="K31" s="30"/>
      <c r="L31" s="30"/>
      <c r="M31" s="19"/>
      <c r="N31" s="19"/>
      <c r="O31" s="19"/>
      <c r="P31" s="19"/>
      <c r="Q31" s="19"/>
      <c r="R31" s="19"/>
      <c r="S31" s="19"/>
      <c r="T31" s="19"/>
      <c r="U31" s="19"/>
      <c r="V31" s="19"/>
      <c r="W31" s="19"/>
      <c r="X31" s="19"/>
      <c r="Y31" s="19"/>
    </row>
    <row r="32" spans="1:25" ht="29.1">
      <c r="A32" s="19">
        <f t="shared" si="0"/>
        <v>29</v>
      </c>
      <c r="B32" s="19" t="s">
        <v>137</v>
      </c>
      <c r="C32" s="19" t="s">
        <v>29</v>
      </c>
      <c r="D32" s="40" t="s">
        <v>163</v>
      </c>
      <c r="E32" s="19" t="s">
        <v>164</v>
      </c>
      <c r="F32" s="19"/>
      <c r="G32" s="19"/>
      <c r="H32" s="19" t="s">
        <v>165</v>
      </c>
      <c r="I32" s="19" t="s">
        <v>166</v>
      </c>
      <c r="J32" s="30"/>
      <c r="K32" s="30"/>
      <c r="L32" s="30"/>
      <c r="M32" s="19"/>
      <c r="N32" s="19"/>
      <c r="O32" s="19"/>
      <c r="P32" s="19"/>
      <c r="Q32" s="19"/>
      <c r="R32" s="19"/>
      <c r="S32" s="19"/>
      <c r="T32" s="19"/>
      <c r="U32" s="19"/>
      <c r="V32" s="19"/>
      <c r="W32" s="19"/>
      <c r="X32" s="19"/>
      <c r="Y32" s="19"/>
    </row>
    <row r="33" spans="1:25" ht="57.95">
      <c r="A33" s="19">
        <f t="shared" si="0"/>
        <v>30</v>
      </c>
      <c r="B33" s="19" t="s">
        <v>137</v>
      </c>
      <c r="C33" s="19" t="s">
        <v>29</v>
      </c>
      <c r="D33" s="40" t="s">
        <v>167</v>
      </c>
      <c r="E33" s="19" t="s">
        <v>168</v>
      </c>
      <c r="F33" s="19"/>
      <c r="G33" s="19"/>
      <c r="H33" s="19" t="s">
        <v>169</v>
      </c>
      <c r="I33" s="19" t="s">
        <v>170</v>
      </c>
      <c r="J33" s="30"/>
      <c r="K33" s="30"/>
      <c r="L33" s="30"/>
      <c r="M33" s="19"/>
      <c r="N33" s="19"/>
      <c r="O33" s="19"/>
      <c r="P33" s="19"/>
      <c r="Q33" s="19"/>
      <c r="R33" s="19"/>
      <c r="S33" s="19"/>
      <c r="T33" s="19"/>
      <c r="U33" s="19"/>
      <c r="V33" s="19"/>
      <c r="W33" s="19"/>
      <c r="X33" s="19"/>
      <c r="Y33" s="19"/>
    </row>
    <row r="34" spans="1:25" ht="87">
      <c r="A34" s="19">
        <f t="shared" si="0"/>
        <v>31</v>
      </c>
      <c r="B34" s="19" t="s">
        <v>171</v>
      </c>
      <c r="C34" s="19" t="s">
        <v>29</v>
      </c>
      <c r="D34" s="19" t="s">
        <v>172</v>
      </c>
      <c r="E34" s="19" t="s">
        <v>173</v>
      </c>
      <c r="F34" s="19"/>
      <c r="G34" s="19"/>
      <c r="H34" s="19"/>
      <c r="I34" s="19"/>
      <c r="J34" s="30"/>
      <c r="K34" s="30"/>
      <c r="L34" s="30"/>
      <c r="M34" s="19"/>
      <c r="N34" s="19"/>
      <c r="O34" s="19"/>
      <c r="P34" s="19"/>
      <c r="Q34" s="19"/>
      <c r="R34" s="19"/>
      <c r="S34" s="19"/>
      <c r="T34" s="19"/>
      <c r="U34" s="19"/>
      <c r="V34" s="19"/>
      <c r="W34" s="19"/>
      <c r="X34" s="19"/>
      <c r="Y34" s="19"/>
    </row>
    <row r="35" spans="1:25" ht="144.94999999999999">
      <c r="A35" s="19">
        <f t="shared" si="0"/>
        <v>32</v>
      </c>
      <c r="B35" s="19" t="s">
        <v>171</v>
      </c>
      <c r="C35" s="19" t="s">
        <v>29</v>
      </c>
      <c r="D35" s="19" t="s">
        <v>174</v>
      </c>
      <c r="E35" s="19" t="s">
        <v>175</v>
      </c>
      <c r="F35" s="19"/>
      <c r="G35" s="19"/>
      <c r="H35" s="19"/>
      <c r="I35" s="19"/>
      <c r="J35" s="30"/>
      <c r="K35" s="30"/>
      <c r="L35" s="30"/>
      <c r="M35" s="19"/>
      <c r="N35" s="19"/>
      <c r="O35" s="19"/>
      <c r="P35" s="19"/>
      <c r="Q35" s="19"/>
      <c r="R35" s="19"/>
      <c r="S35" s="19"/>
      <c r="T35" s="19"/>
      <c r="U35" s="19"/>
      <c r="V35" s="19"/>
      <c r="W35" s="19"/>
      <c r="X35" s="19"/>
      <c r="Y35" s="19"/>
    </row>
    <row r="36" spans="1:25" ht="116.1">
      <c r="A36" s="19">
        <f t="shared" si="0"/>
        <v>33</v>
      </c>
      <c r="B36" s="19" t="s">
        <v>171</v>
      </c>
      <c r="C36" s="19" t="s">
        <v>29</v>
      </c>
      <c r="D36" s="19" t="s">
        <v>176</v>
      </c>
      <c r="E36" s="19" t="s">
        <v>177</v>
      </c>
      <c r="F36" s="19"/>
      <c r="G36" s="19"/>
      <c r="H36" s="19"/>
      <c r="I36" s="19"/>
      <c r="J36" s="30"/>
      <c r="K36" s="30"/>
      <c r="L36" s="30"/>
      <c r="M36" s="19"/>
      <c r="N36" s="19"/>
      <c r="O36" s="19"/>
      <c r="P36" s="19"/>
      <c r="Q36" s="19"/>
      <c r="R36" s="19"/>
      <c r="S36" s="19"/>
      <c r="T36" s="19"/>
      <c r="U36" s="19"/>
      <c r="V36" s="19"/>
      <c r="W36" s="19"/>
      <c r="X36" s="19"/>
      <c r="Y36" s="19"/>
    </row>
    <row r="37" spans="1:25" ht="188.45">
      <c r="A37" s="13">
        <f t="shared" si="0"/>
        <v>34</v>
      </c>
      <c r="B37" s="13" t="s">
        <v>171</v>
      </c>
      <c r="C37" s="13" t="s">
        <v>29</v>
      </c>
      <c r="D37" s="13" t="s">
        <v>178</v>
      </c>
      <c r="E37" s="13" t="s">
        <v>179</v>
      </c>
      <c r="F37" s="36" t="s">
        <v>180</v>
      </c>
      <c r="G37" s="13"/>
      <c r="H37" s="13"/>
      <c r="I37" s="13"/>
      <c r="J37" s="30"/>
      <c r="K37" s="30"/>
      <c r="L37" s="30" t="s">
        <v>181</v>
      </c>
      <c r="M37" s="13"/>
      <c r="N37" s="13"/>
      <c r="O37" s="13"/>
      <c r="P37" s="13"/>
      <c r="Q37" s="13"/>
      <c r="R37" s="13"/>
      <c r="S37" s="13"/>
      <c r="T37" s="13"/>
      <c r="U37" s="13"/>
      <c r="V37" s="13"/>
      <c r="W37" s="13"/>
      <c r="X37" s="13"/>
      <c r="Y37" s="13"/>
    </row>
    <row r="38" spans="1:25" ht="101.45">
      <c r="A38" s="19">
        <f t="shared" si="0"/>
        <v>35</v>
      </c>
      <c r="B38" s="19" t="s">
        <v>171</v>
      </c>
      <c r="C38" s="19" t="s">
        <v>29</v>
      </c>
      <c r="D38" s="19" t="s">
        <v>182</v>
      </c>
      <c r="E38" s="19" t="s">
        <v>183</v>
      </c>
      <c r="F38" s="19"/>
      <c r="G38" s="19"/>
      <c r="H38" s="19"/>
      <c r="I38" s="19"/>
      <c r="J38" s="30"/>
      <c r="K38" s="30"/>
      <c r="L38" s="30"/>
      <c r="M38" s="19"/>
      <c r="N38" s="19"/>
      <c r="O38" s="19"/>
      <c r="P38" s="19"/>
      <c r="Q38" s="19"/>
      <c r="R38" s="19"/>
      <c r="S38" s="19"/>
      <c r="T38" s="19"/>
      <c r="U38" s="19"/>
      <c r="V38" s="19"/>
      <c r="W38" s="19"/>
      <c r="X38" s="19"/>
      <c r="Y38" s="19"/>
    </row>
    <row r="39" spans="1:25" ht="29.1">
      <c r="A39" s="19">
        <f t="shared" si="0"/>
        <v>36</v>
      </c>
      <c r="B39" s="19" t="s">
        <v>184</v>
      </c>
      <c r="C39" s="19" t="s">
        <v>29</v>
      </c>
      <c r="D39" s="19" t="s">
        <v>185</v>
      </c>
      <c r="E39" s="19"/>
      <c r="F39" s="19"/>
      <c r="G39" s="19"/>
      <c r="H39" s="19"/>
      <c r="I39" s="19"/>
      <c r="J39" s="30"/>
      <c r="K39" s="30"/>
      <c r="L39" s="30"/>
      <c r="M39" s="19"/>
      <c r="N39" s="19"/>
      <c r="O39" s="19"/>
      <c r="P39" s="19"/>
      <c r="Q39" s="19"/>
      <c r="R39" s="19"/>
      <c r="S39" s="19"/>
      <c r="T39" s="19"/>
      <c r="U39" s="19"/>
      <c r="V39" s="19"/>
      <c r="W39" s="19"/>
      <c r="X39" s="19"/>
      <c r="Y39" s="19"/>
    </row>
    <row r="40" spans="1:25" ht="29.1">
      <c r="A40" s="19">
        <f t="shared" si="0"/>
        <v>37</v>
      </c>
      <c r="B40" s="19" t="s">
        <v>184</v>
      </c>
      <c r="C40" s="19" t="s">
        <v>29</v>
      </c>
      <c r="D40" s="19" t="s">
        <v>186</v>
      </c>
      <c r="E40" s="19"/>
      <c r="F40" s="19"/>
      <c r="G40" s="19"/>
      <c r="H40" s="19"/>
      <c r="I40" s="19"/>
      <c r="J40" s="30"/>
      <c r="K40" s="30"/>
      <c r="L40" s="30"/>
      <c r="M40" s="19"/>
      <c r="N40" s="19"/>
      <c r="O40" s="19"/>
      <c r="P40" s="19"/>
      <c r="Q40" s="19"/>
      <c r="R40" s="19"/>
      <c r="S40" s="19"/>
      <c r="T40" s="19"/>
      <c r="U40" s="19"/>
      <c r="V40" s="19"/>
      <c r="W40" s="19"/>
      <c r="X40" s="19"/>
      <c r="Y40" s="19"/>
    </row>
    <row r="41" spans="1:25" ht="29.1">
      <c r="A41" s="19">
        <f t="shared" si="0"/>
        <v>38</v>
      </c>
      <c r="B41" s="19" t="s">
        <v>184</v>
      </c>
      <c r="C41" s="19" t="s">
        <v>29</v>
      </c>
      <c r="D41" s="19" t="s">
        <v>187</v>
      </c>
      <c r="E41" s="19"/>
      <c r="F41" s="19"/>
      <c r="G41" s="19"/>
      <c r="H41" s="19"/>
      <c r="I41" s="19"/>
      <c r="J41" s="30"/>
      <c r="K41" s="30"/>
      <c r="L41" s="30"/>
      <c r="M41" s="19"/>
      <c r="N41" s="19"/>
      <c r="O41" s="19"/>
      <c r="P41" s="19"/>
      <c r="Q41" s="19"/>
      <c r="R41" s="19"/>
      <c r="S41" s="19"/>
      <c r="T41" s="19"/>
      <c r="U41" s="19"/>
      <c r="V41" s="19"/>
      <c r="W41" s="19"/>
      <c r="X41" s="19"/>
      <c r="Y41" s="19"/>
    </row>
    <row r="42" spans="1:25" ht="29.1">
      <c r="A42" s="19">
        <f t="shared" si="0"/>
        <v>39</v>
      </c>
      <c r="B42" s="19" t="s">
        <v>184</v>
      </c>
      <c r="C42" s="19" t="s">
        <v>29</v>
      </c>
      <c r="D42" s="19" t="s">
        <v>188</v>
      </c>
      <c r="E42" s="19"/>
      <c r="F42" s="19"/>
      <c r="G42" s="19"/>
      <c r="H42" s="19"/>
      <c r="I42" s="19"/>
      <c r="J42" s="30"/>
      <c r="K42" s="30"/>
      <c r="L42" s="30"/>
      <c r="M42" s="19"/>
      <c r="N42" s="19"/>
      <c r="O42" s="19"/>
      <c r="P42" s="19"/>
      <c r="Q42" s="19"/>
      <c r="R42" s="19"/>
      <c r="S42" s="19"/>
      <c r="T42" s="19"/>
      <c r="U42" s="19"/>
      <c r="V42" s="19"/>
      <c r="W42" s="19"/>
      <c r="X42" s="19"/>
      <c r="Y42" s="19"/>
    </row>
    <row r="43" spans="1:25" ht="29.1">
      <c r="A43" s="19">
        <f t="shared" si="0"/>
        <v>40</v>
      </c>
      <c r="B43" s="19" t="s">
        <v>184</v>
      </c>
      <c r="C43" s="19" t="s">
        <v>29</v>
      </c>
      <c r="D43" s="19" t="s">
        <v>189</v>
      </c>
      <c r="E43" s="19"/>
      <c r="F43" s="19"/>
      <c r="G43" s="19"/>
      <c r="H43" s="19"/>
      <c r="I43" s="19"/>
      <c r="J43" s="30"/>
      <c r="K43" s="30"/>
      <c r="L43" s="30"/>
      <c r="M43" s="19"/>
      <c r="N43" s="19"/>
      <c r="O43" s="19"/>
      <c r="P43" s="19"/>
      <c r="Q43" s="19"/>
      <c r="R43" s="19"/>
      <c r="S43" s="19"/>
      <c r="T43" s="19"/>
      <c r="U43" s="19"/>
      <c r="V43" s="19"/>
      <c r="W43" s="19"/>
      <c r="X43" s="19"/>
      <c r="Y43" s="19"/>
    </row>
    <row r="44" spans="1:25">
      <c r="A44" s="19">
        <f t="shared" si="0"/>
        <v>41</v>
      </c>
      <c r="B44" s="19" t="s">
        <v>184</v>
      </c>
      <c r="C44" s="19" t="s">
        <v>29</v>
      </c>
      <c r="D44" s="19" t="s">
        <v>190</v>
      </c>
      <c r="E44" s="19"/>
      <c r="F44" s="19"/>
      <c r="G44" s="19"/>
      <c r="H44" s="19"/>
      <c r="I44" s="19"/>
      <c r="J44" s="30"/>
      <c r="K44" s="30"/>
      <c r="L44" s="30"/>
      <c r="M44" s="19"/>
      <c r="N44" s="19"/>
      <c r="O44" s="19"/>
      <c r="P44" s="19"/>
      <c r="Q44" s="19"/>
      <c r="R44" s="19"/>
      <c r="S44" s="19"/>
      <c r="T44" s="19"/>
      <c r="U44" s="19"/>
      <c r="V44" s="19"/>
      <c r="W44" s="19"/>
      <c r="X44" s="19"/>
      <c r="Y44" s="19"/>
    </row>
    <row r="45" spans="1:25" ht="29.1">
      <c r="A45" s="19">
        <f t="shared" si="0"/>
        <v>42</v>
      </c>
      <c r="B45" s="19" t="s">
        <v>184</v>
      </c>
      <c r="C45" s="19" t="s">
        <v>29</v>
      </c>
      <c r="D45" s="19" t="s">
        <v>191</v>
      </c>
      <c r="E45" s="19"/>
      <c r="F45" s="19"/>
      <c r="G45" s="19"/>
      <c r="H45" s="19"/>
      <c r="I45" s="19"/>
      <c r="J45" s="30"/>
      <c r="K45" s="30"/>
      <c r="L45" s="30"/>
      <c r="M45" s="19"/>
      <c r="N45" s="19"/>
      <c r="O45" s="19"/>
      <c r="P45" s="19"/>
      <c r="Q45" s="19"/>
      <c r="R45" s="19"/>
      <c r="S45" s="19"/>
      <c r="T45" s="19"/>
      <c r="U45" s="19"/>
      <c r="V45" s="19"/>
      <c r="W45" s="19"/>
      <c r="X45" s="19"/>
      <c r="Y45" s="19"/>
    </row>
    <row r="46" spans="1:25" ht="29.1">
      <c r="A46" s="19">
        <f t="shared" si="0"/>
        <v>43</v>
      </c>
      <c r="B46" s="19" t="s">
        <v>184</v>
      </c>
      <c r="C46" s="19" t="s">
        <v>29</v>
      </c>
      <c r="D46" s="19" t="s">
        <v>192</v>
      </c>
      <c r="E46" s="19"/>
      <c r="F46" s="19"/>
      <c r="G46" s="19"/>
      <c r="H46" s="19"/>
      <c r="I46" s="19"/>
      <c r="J46" s="30"/>
      <c r="K46" s="30"/>
      <c r="L46" s="30"/>
      <c r="M46" s="19"/>
      <c r="N46" s="19"/>
      <c r="O46" s="19"/>
      <c r="P46" s="19"/>
      <c r="Q46" s="19"/>
      <c r="R46" s="19"/>
      <c r="S46" s="19"/>
      <c r="T46" s="19"/>
      <c r="U46" s="19"/>
      <c r="V46" s="19"/>
      <c r="W46" s="19"/>
      <c r="X46" s="19"/>
      <c r="Y46" s="19"/>
    </row>
  </sheetData>
  <mergeCells count="4">
    <mergeCell ref="A1:C1"/>
    <mergeCell ref="T2:V2"/>
    <mergeCell ref="O2:P2"/>
    <mergeCell ref="J2: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66347-2CC4-4744-8C65-11C4260477F6}">
  <dimension ref="A1:Y48"/>
  <sheetViews>
    <sheetView zoomScale="85" zoomScaleNormal="85" workbookViewId="0">
      <selection activeCell="E20" sqref="E20"/>
    </sheetView>
  </sheetViews>
  <sheetFormatPr defaultColWidth="8.7109375" defaultRowHeight="14.45"/>
  <cols>
    <col min="1" max="1" width="3.42578125" style="1" bestFit="1" customWidth="1"/>
    <col min="2" max="2" width="12.85546875" style="1" bestFit="1" customWidth="1"/>
    <col min="3" max="3" width="16.5703125" style="1" customWidth="1"/>
    <col min="4" max="4" width="24.140625" style="1" customWidth="1"/>
    <col min="5" max="5" width="34.140625" style="1" customWidth="1"/>
    <col min="6" max="6" width="44" style="1" customWidth="1"/>
    <col min="7" max="7" width="15" style="1" bestFit="1" customWidth="1"/>
    <col min="8" max="8" width="33" style="1" customWidth="1"/>
    <col min="9" max="9" width="36.42578125" style="1" customWidth="1"/>
    <col min="10" max="10" width="10.28515625" style="1" customWidth="1"/>
    <col min="11" max="11" width="13.140625" style="1" bestFit="1" customWidth="1"/>
    <col min="12" max="12" width="21.42578125" style="1" customWidth="1"/>
    <col min="13" max="14" width="11.5703125" style="1" bestFit="1" customWidth="1"/>
    <col min="15" max="15" width="8.42578125" style="1" bestFit="1" customWidth="1"/>
    <col min="16" max="16" width="7.5703125" style="1" customWidth="1"/>
    <col min="17" max="17" width="13.7109375" style="1" customWidth="1"/>
    <col min="18" max="18" width="14.85546875" style="1" bestFit="1" customWidth="1"/>
    <col min="19" max="19" width="14.140625" style="1" bestFit="1" customWidth="1"/>
    <col min="20" max="21" width="10.85546875" style="1" bestFit="1" customWidth="1"/>
    <col min="22" max="22" width="5.28515625" style="1" bestFit="1" customWidth="1"/>
    <col min="23" max="23" width="13.140625" style="1" bestFit="1" customWidth="1"/>
    <col min="24" max="24" width="12.28515625" style="1" bestFit="1" customWidth="1"/>
    <col min="25" max="25" width="12.7109375" style="1" customWidth="1"/>
    <col min="26" max="16384" width="8.7109375" style="1"/>
  </cols>
  <sheetData>
    <row r="1" spans="1:25" ht="21">
      <c r="A1" s="46" t="s">
        <v>0</v>
      </c>
      <c r="B1" s="46"/>
      <c r="C1" s="46"/>
      <c r="E1" s="33" t="s">
        <v>193</v>
      </c>
      <c r="F1" s="34">
        <f ca="1">TODAY()</f>
        <v>46184</v>
      </c>
    </row>
    <row r="2" spans="1:25" ht="14.45" customHeight="1">
      <c r="J2" s="48" t="s">
        <v>1</v>
      </c>
      <c r="K2" s="49"/>
      <c r="L2" s="50"/>
      <c r="O2" s="47" t="s">
        <v>2</v>
      </c>
      <c r="P2" s="47"/>
      <c r="T2" s="47" t="s">
        <v>3</v>
      </c>
      <c r="U2" s="47"/>
      <c r="V2" s="47"/>
    </row>
    <row r="3" spans="1:25" s="4" customFormat="1" ht="45">
      <c r="A3" s="3" t="s">
        <v>4</v>
      </c>
      <c r="B3" s="3" t="s">
        <v>5</v>
      </c>
      <c r="C3" s="3" t="s">
        <v>6</v>
      </c>
      <c r="D3" s="3" t="s">
        <v>7</v>
      </c>
      <c r="E3" s="3" t="s">
        <v>8</v>
      </c>
      <c r="F3" s="3" t="s">
        <v>9</v>
      </c>
      <c r="G3" s="3" t="s">
        <v>10</v>
      </c>
      <c r="H3" s="3" t="s">
        <v>11</v>
      </c>
      <c r="I3" s="3" t="s">
        <v>12</v>
      </c>
      <c r="J3" s="3" t="s">
        <v>194</v>
      </c>
      <c r="K3" s="3" t="s">
        <v>14</v>
      </c>
      <c r="L3" s="3" t="s">
        <v>15</v>
      </c>
      <c r="M3" s="3" t="s">
        <v>16</v>
      </c>
      <c r="N3" s="3" t="s">
        <v>17</v>
      </c>
      <c r="O3" s="5" t="s">
        <v>18</v>
      </c>
      <c r="P3" s="6" t="s">
        <v>19</v>
      </c>
      <c r="Q3" s="3" t="s">
        <v>20</v>
      </c>
      <c r="R3" s="3" t="s">
        <v>21</v>
      </c>
      <c r="S3" s="3" t="s">
        <v>22</v>
      </c>
      <c r="T3" s="5" t="s">
        <v>23</v>
      </c>
      <c r="U3" s="3" t="s">
        <v>24</v>
      </c>
      <c r="V3" s="6" t="s">
        <v>25</v>
      </c>
      <c r="W3" s="3" t="s">
        <v>26</v>
      </c>
      <c r="X3" s="3" t="s">
        <v>27</v>
      </c>
      <c r="Y3" s="3" t="s">
        <v>28</v>
      </c>
    </row>
    <row r="4" spans="1:25" s="4" customFormat="1" ht="30">
      <c r="A4" s="13">
        <v>1</v>
      </c>
      <c r="B4" s="13" t="s">
        <v>19</v>
      </c>
      <c r="C4" s="13" t="s">
        <v>29</v>
      </c>
      <c r="D4" s="14" t="s">
        <v>30</v>
      </c>
      <c r="E4" s="14" t="s">
        <v>31</v>
      </c>
      <c r="F4" s="14" t="s">
        <v>32</v>
      </c>
      <c r="G4" s="13" t="s">
        <v>33</v>
      </c>
      <c r="H4" s="15" t="s">
        <v>34</v>
      </c>
      <c r="I4" s="15" t="s">
        <v>35</v>
      </c>
      <c r="J4" s="28" t="s">
        <v>33</v>
      </c>
      <c r="K4" s="28" t="s">
        <v>33</v>
      </c>
      <c r="L4" s="31" t="s">
        <v>195</v>
      </c>
      <c r="M4" s="13" t="s">
        <v>37</v>
      </c>
      <c r="N4" s="13" t="s">
        <v>38</v>
      </c>
      <c r="O4" s="13"/>
      <c r="P4" s="13"/>
      <c r="Q4" s="13" t="s">
        <v>39</v>
      </c>
      <c r="R4" s="16" t="s">
        <v>40</v>
      </c>
      <c r="S4" s="13" t="s">
        <v>57</v>
      </c>
      <c r="T4" s="16">
        <v>46266</v>
      </c>
      <c r="U4" s="16">
        <v>46387</v>
      </c>
      <c r="V4" s="13">
        <v>0</v>
      </c>
      <c r="W4" s="17">
        <f>+U4+1</f>
        <v>46388</v>
      </c>
      <c r="X4" s="17">
        <f>+W4</f>
        <v>46388</v>
      </c>
      <c r="Y4" s="18" t="s">
        <v>41</v>
      </c>
    </row>
    <row r="5" spans="1:25" s="4" customFormat="1" ht="90" hidden="1">
      <c r="A5" s="19">
        <f>+A4+1</f>
        <v>2</v>
      </c>
      <c r="B5" s="19" t="s">
        <v>42</v>
      </c>
      <c r="C5" s="19" t="s">
        <v>29</v>
      </c>
      <c r="D5" s="20" t="s">
        <v>43</v>
      </c>
      <c r="E5" s="20" t="s">
        <v>44</v>
      </c>
      <c r="F5" s="20" t="s">
        <v>45</v>
      </c>
      <c r="G5" s="19">
        <v>1</v>
      </c>
      <c r="H5" s="21" t="s">
        <v>45</v>
      </c>
      <c r="I5" s="21" t="s">
        <v>46</v>
      </c>
      <c r="J5" s="28"/>
      <c r="K5" s="28"/>
      <c r="L5" s="31"/>
      <c r="M5" s="19"/>
      <c r="N5" s="19"/>
      <c r="O5" s="19"/>
      <c r="P5" s="19"/>
      <c r="Q5" s="19"/>
      <c r="R5" s="22"/>
      <c r="S5" s="19"/>
      <c r="T5" s="19"/>
      <c r="U5" s="19"/>
      <c r="V5" s="19"/>
      <c r="W5" s="23"/>
      <c r="X5" s="23"/>
      <c r="Y5" s="23"/>
    </row>
    <row r="6" spans="1:25" s="4" customFormat="1" ht="60" hidden="1">
      <c r="A6" s="19">
        <f>+A5+1</f>
        <v>3</v>
      </c>
      <c r="B6" s="19" t="s">
        <v>42</v>
      </c>
      <c r="C6" s="19" t="s">
        <v>29</v>
      </c>
      <c r="D6" s="20" t="s">
        <v>47</v>
      </c>
      <c r="E6" s="20" t="s">
        <v>48</v>
      </c>
      <c r="F6" s="20" t="s">
        <v>49</v>
      </c>
      <c r="G6" s="19">
        <v>2</v>
      </c>
      <c r="H6" s="21" t="s">
        <v>49</v>
      </c>
      <c r="I6" s="21" t="s">
        <v>50</v>
      </c>
      <c r="J6" s="28"/>
      <c r="K6" s="28"/>
      <c r="L6" s="31"/>
      <c r="M6" s="19"/>
      <c r="N6" s="19"/>
      <c r="O6" s="19"/>
      <c r="P6" s="19"/>
      <c r="Q6" s="19"/>
      <c r="R6" s="22">
        <v>46154</v>
      </c>
      <c r="S6" s="19"/>
      <c r="T6" s="19"/>
      <c r="U6" s="19"/>
      <c r="V6" s="19"/>
      <c r="W6" s="23"/>
      <c r="X6" s="23"/>
      <c r="Y6" s="23"/>
    </row>
    <row r="7" spans="1:25" s="4" customFormat="1" ht="60">
      <c r="A7" s="13">
        <f t="shared" ref="A7:A47" si="0">+A6+1</f>
        <v>4</v>
      </c>
      <c r="B7" s="13" t="s">
        <v>42</v>
      </c>
      <c r="C7" s="13" t="s">
        <v>29</v>
      </c>
      <c r="D7" s="14" t="s">
        <v>51</v>
      </c>
      <c r="E7" s="14" t="s">
        <v>52</v>
      </c>
      <c r="F7" s="14" t="s">
        <v>53</v>
      </c>
      <c r="G7" s="13">
        <v>2</v>
      </c>
      <c r="H7" s="15" t="s">
        <v>53</v>
      </c>
      <c r="I7" s="15" t="s">
        <v>54</v>
      </c>
      <c r="J7" s="28"/>
      <c r="K7" s="28"/>
      <c r="L7" s="31" t="s">
        <v>196</v>
      </c>
      <c r="M7" s="13"/>
      <c r="N7" s="13"/>
      <c r="O7" s="13"/>
      <c r="P7" s="13"/>
      <c r="Q7" s="13" t="s">
        <v>56</v>
      </c>
      <c r="R7" s="16">
        <v>46154</v>
      </c>
      <c r="S7" s="13" t="s">
        <v>57</v>
      </c>
      <c r="T7" s="13"/>
      <c r="U7" s="13"/>
      <c r="V7" s="24">
        <v>0.9</v>
      </c>
      <c r="W7" s="25"/>
      <c r="X7" s="25"/>
      <c r="Y7" s="18" t="s">
        <v>41</v>
      </c>
    </row>
    <row r="8" spans="1:25" s="4" customFormat="1" ht="45" hidden="1">
      <c r="A8" s="19">
        <f t="shared" si="0"/>
        <v>5</v>
      </c>
      <c r="B8" s="19" t="s">
        <v>42</v>
      </c>
      <c r="C8" s="19" t="s">
        <v>29</v>
      </c>
      <c r="D8" s="20" t="s">
        <v>58</v>
      </c>
      <c r="E8" s="20" t="s">
        <v>59</v>
      </c>
      <c r="F8" s="20" t="s">
        <v>60</v>
      </c>
      <c r="G8" s="19">
        <v>3</v>
      </c>
      <c r="H8" s="21" t="s">
        <v>60</v>
      </c>
      <c r="I8" s="21" t="s">
        <v>61</v>
      </c>
      <c r="J8" s="28"/>
      <c r="K8" s="28"/>
      <c r="L8" s="31"/>
      <c r="M8" s="19"/>
      <c r="N8" s="19"/>
      <c r="O8" s="19"/>
      <c r="P8" s="19"/>
      <c r="Q8" s="19"/>
      <c r="R8" s="22">
        <v>46154</v>
      </c>
      <c r="S8" s="19"/>
      <c r="T8" s="19"/>
      <c r="U8" s="19"/>
      <c r="V8" s="19"/>
      <c r="W8" s="23"/>
      <c r="X8" s="23"/>
      <c r="Y8" s="23"/>
    </row>
    <row r="9" spans="1:25" s="4" customFormat="1" ht="45" hidden="1">
      <c r="A9" s="19">
        <f t="shared" si="0"/>
        <v>6</v>
      </c>
      <c r="B9" s="19" t="s">
        <v>42</v>
      </c>
      <c r="C9" s="19" t="s">
        <v>29</v>
      </c>
      <c r="D9" s="20" t="s">
        <v>62</v>
      </c>
      <c r="E9" s="20" t="s">
        <v>63</v>
      </c>
      <c r="F9" s="20" t="s">
        <v>64</v>
      </c>
      <c r="G9" s="19">
        <v>3</v>
      </c>
      <c r="H9" s="21" t="s">
        <v>64</v>
      </c>
      <c r="I9" s="21" t="s">
        <v>65</v>
      </c>
      <c r="J9" s="28"/>
      <c r="K9" s="28"/>
      <c r="L9" s="31"/>
      <c r="M9" s="19"/>
      <c r="N9" s="19"/>
      <c r="O9" s="19"/>
      <c r="P9" s="19"/>
      <c r="Q9" s="19"/>
      <c r="R9" s="22">
        <v>46154</v>
      </c>
      <c r="S9" s="19"/>
      <c r="T9" s="19"/>
      <c r="U9" s="19"/>
      <c r="V9" s="19"/>
      <c r="W9" s="23"/>
      <c r="X9" s="23"/>
      <c r="Y9" s="23"/>
    </row>
    <row r="10" spans="1:25" s="4" customFormat="1" ht="45" hidden="1">
      <c r="A10" s="19">
        <f t="shared" si="0"/>
        <v>7</v>
      </c>
      <c r="B10" s="19" t="s">
        <v>42</v>
      </c>
      <c r="C10" s="19" t="s">
        <v>29</v>
      </c>
      <c r="D10" s="20" t="s">
        <v>66</v>
      </c>
      <c r="E10" s="20" t="s">
        <v>67</v>
      </c>
      <c r="F10" s="20" t="s">
        <v>68</v>
      </c>
      <c r="G10" s="19">
        <v>3</v>
      </c>
      <c r="H10" s="21" t="s">
        <v>68</v>
      </c>
      <c r="I10" s="21" t="s">
        <v>69</v>
      </c>
      <c r="J10" s="28"/>
      <c r="K10" s="28"/>
      <c r="L10" s="31"/>
      <c r="M10" s="19"/>
      <c r="N10" s="19"/>
      <c r="O10" s="19"/>
      <c r="P10" s="19"/>
      <c r="Q10" s="19"/>
      <c r="R10" s="22">
        <v>46154</v>
      </c>
      <c r="S10" s="19"/>
      <c r="T10" s="19"/>
      <c r="U10" s="19"/>
      <c r="V10" s="19"/>
      <c r="W10" s="23"/>
      <c r="X10" s="23"/>
      <c r="Y10" s="23"/>
    </row>
    <row r="11" spans="1:25" s="4" customFormat="1" ht="45" hidden="1">
      <c r="A11" s="19">
        <f t="shared" si="0"/>
        <v>8</v>
      </c>
      <c r="B11" s="19" t="s">
        <v>42</v>
      </c>
      <c r="C11" s="19" t="s">
        <v>29</v>
      </c>
      <c r="D11" s="20" t="s">
        <v>70</v>
      </c>
      <c r="E11" s="20" t="s">
        <v>71</v>
      </c>
      <c r="F11" s="20" t="s">
        <v>72</v>
      </c>
      <c r="G11" s="19">
        <v>4</v>
      </c>
      <c r="H11" s="21" t="s">
        <v>72</v>
      </c>
      <c r="I11" s="21" t="s">
        <v>73</v>
      </c>
      <c r="J11" s="28"/>
      <c r="K11" s="28"/>
      <c r="L11" s="31"/>
      <c r="M11" s="19"/>
      <c r="N11" s="19"/>
      <c r="O11" s="19"/>
      <c r="P11" s="19"/>
      <c r="Q11" s="19"/>
      <c r="R11" s="22">
        <v>46154</v>
      </c>
      <c r="S11" s="19"/>
      <c r="T11" s="19"/>
      <c r="U11" s="19"/>
      <c r="V11" s="19"/>
      <c r="W11" s="23"/>
      <c r="X11" s="23"/>
      <c r="Y11" s="23"/>
    </row>
    <row r="12" spans="1:25" s="4" customFormat="1" ht="45" hidden="1">
      <c r="A12" s="19">
        <f t="shared" si="0"/>
        <v>9</v>
      </c>
      <c r="B12" s="19" t="s">
        <v>42</v>
      </c>
      <c r="C12" s="19" t="s">
        <v>29</v>
      </c>
      <c r="D12" s="20" t="s">
        <v>74</v>
      </c>
      <c r="E12" s="20" t="s">
        <v>75</v>
      </c>
      <c r="F12" s="20" t="s">
        <v>76</v>
      </c>
      <c r="G12" s="19">
        <v>5</v>
      </c>
      <c r="H12" s="21" t="s">
        <v>76</v>
      </c>
      <c r="I12" s="21" t="s">
        <v>77</v>
      </c>
      <c r="J12" s="28"/>
      <c r="K12" s="28"/>
      <c r="L12" s="31"/>
      <c r="M12" s="19"/>
      <c r="N12" s="19"/>
      <c r="O12" s="19"/>
      <c r="P12" s="19"/>
      <c r="Q12" s="19"/>
      <c r="R12" s="22">
        <v>46154</v>
      </c>
      <c r="S12" s="19"/>
      <c r="T12" s="19"/>
      <c r="U12" s="19"/>
      <c r="V12" s="19"/>
      <c r="W12" s="23"/>
      <c r="X12" s="23"/>
      <c r="Y12" s="23"/>
    </row>
    <row r="13" spans="1:25" s="4" customFormat="1" ht="60" hidden="1">
      <c r="A13" s="19">
        <f t="shared" si="0"/>
        <v>10</v>
      </c>
      <c r="B13" s="19" t="s">
        <v>42</v>
      </c>
      <c r="C13" s="19" t="s">
        <v>29</v>
      </c>
      <c r="D13" s="20" t="s">
        <v>78</v>
      </c>
      <c r="E13" s="20" t="s">
        <v>79</v>
      </c>
      <c r="F13" s="20" t="s">
        <v>80</v>
      </c>
      <c r="G13" s="19">
        <v>6</v>
      </c>
      <c r="H13" s="21" t="s">
        <v>80</v>
      </c>
      <c r="I13" s="21" t="s">
        <v>81</v>
      </c>
      <c r="J13" s="28"/>
      <c r="K13" s="28"/>
      <c r="L13" s="31"/>
      <c r="M13" s="19"/>
      <c r="N13" s="19"/>
      <c r="O13" s="19"/>
      <c r="P13" s="19"/>
      <c r="Q13" s="19"/>
      <c r="R13" s="22">
        <v>46154</v>
      </c>
      <c r="S13" s="19"/>
      <c r="T13" s="19"/>
      <c r="U13" s="19"/>
      <c r="V13" s="19"/>
      <c r="W13" s="23"/>
      <c r="X13" s="23"/>
      <c r="Y13" s="23"/>
    </row>
    <row r="14" spans="1:25" s="4" customFormat="1" ht="45" hidden="1">
      <c r="A14" s="19">
        <f t="shared" si="0"/>
        <v>11</v>
      </c>
      <c r="B14" s="19" t="s">
        <v>42</v>
      </c>
      <c r="C14" s="19" t="s">
        <v>29</v>
      </c>
      <c r="D14" s="20" t="s">
        <v>82</v>
      </c>
      <c r="E14" s="20" t="s">
        <v>83</v>
      </c>
      <c r="F14" s="20" t="s">
        <v>84</v>
      </c>
      <c r="G14" s="19">
        <v>7</v>
      </c>
      <c r="H14" s="21" t="s">
        <v>84</v>
      </c>
      <c r="I14" s="21" t="s">
        <v>85</v>
      </c>
      <c r="J14" s="28"/>
      <c r="K14" s="28"/>
      <c r="L14" s="31"/>
      <c r="M14" s="19"/>
      <c r="N14" s="19"/>
      <c r="O14" s="19"/>
      <c r="P14" s="19"/>
      <c r="Q14" s="19"/>
      <c r="R14" s="22">
        <v>46154</v>
      </c>
      <c r="S14" s="19"/>
      <c r="T14" s="19"/>
      <c r="U14" s="19"/>
      <c r="V14" s="19"/>
      <c r="W14" s="23"/>
      <c r="X14" s="23"/>
      <c r="Y14" s="23"/>
    </row>
    <row r="15" spans="1:25" s="4" customFormat="1" ht="45" hidden="1">
      <c r="A15" s="19">
        <f t="shared" si="0"/>
        <v>12</v>
      </c>
      <c r="B15" s="19" t="s">
        <v>42</v>
      </c>
      <c r="C15" s="19" t="s">
        <v>29</v>
      </c>
      <c r="D15" s="20" t="s">
        <v>86</v>
      </c>
      <c r="E15" s="20" t="s">
        <v>87</v>
      </c>
      <c r="F15" s="20" t="s">
        <v>88</v>
      </c>
      <c r="G15" s="19">
        <v>8</v>
      </c>
      <c r="H15" s="21" t="s">
        <v>88</v>
      </c>
      <c r="I15" s="21" t="s">
        <v>89</v>
      </c>
      <c r="J15" s="28"/>
      <c r="K15" s="28"/>
      <c r="L15" s="31"/>
      <c r="M15" s="19"/>
      <c r="N15" s="19"/>
      <c r="O15" s="19"/>
      <c r="P15" s="19"/>
      <c r="Q15" s="19"/>
      <c r="R15" s="22">
        <v>46154</v>
      </c>
      <c r="S15" s="19"/>
      <c r="T15" s="19"/>
      <c r="U15" s="19"/>
      <c r="V15" s="19"/>
      <c r="W15" s="23"/>
      <c r="X15" s="23"/>
      <c r="Y15" s="23"/>
    </row>
    <row r="16" spans="1:25" s="4" customFormat="1" ht="60" hidden="1">
      <c r="A16" s="19">
        <f t="shared" si="0"/>
        <v>13</v>
      </c>
      <c r="B16" s="19" t="s">
        <v>42</v>
      </c>
      <c r="C16" s="19" t="s">
        <v>29</v>
      </c>
      <c r="D16" s="20" t="s">
        <v>90</v>
      </c>
      <c r="E16" s="20" t="s">
        <v>91</v>
      </c>
      <c r="F16" s="20" t="s">
        <v>92</v>
      </c>
      <c r="G16" s="19">
        <v>10</v>
      </c>
      <c r="H16" s="21" t="s">
        <v>92</v>
      </c>
      <c r="I16" s="21" t="s">
        <v>93</v>
      </c>
      <c r="J16" s="28"/>
      <c r="K16" s="28"/>
      <c r="L16" s="31"/>
      <c r="M16" s="19"/>
      <c r="N16" s="19"/>
      <c r="O16" s="19"/>
      <c r="P16" s="19"/>
      <c r="Q16" s="19"/>
      <c r="R16" s="22">
        <v>46154</v>
      </c>
      <c r="S16" s="19"/>
      <c r="T16" s="19"/>
      <c r="U16" s="19"/>
      <c r="V16" s="19"/>
      <c r="W16" s="23"/>
      <c r="X16" s="23"/>
      <c r="Y16" s="23"/>
    </row>
    <row r="17" spans="1:25" s="4" customFormat="1" ht="90" hidden="1">
      <c r="A17" s="19">
        <f t="shared" si="0"/>
        <v>14</v>
      </c>
      <c r="B17" s="19" t="s">
        <v>42</v>
      </c>
      <c r="C17" s="19" t="s">
        <v>94</v>
      </c>
      <c r="D17" s="26" t="s">
        <v>95</v>
      </c>
      <c r="E17" s="26" t="s">
        <v>96</v>
      </c>
      <c r="F17" s="27" t="s">
        <v>97</v>
      </c>
      <c r="G17" s="19">
        <v>1</v>
      </c>
      <c r="H17" s="27" t="s">
        <v>97</v>
      </c>
      <c r="I17" s="27" t="s">
        <v>98</v>
      </c>
      <c r="J17" s="29"/>
      <c r="K17" s="29"/>
      <c r="L17" s="32"/>
      <c r="M17" s="19"/>
      <c r="N17" s="19"/>
      <c r="O17" s="19"/>
      <c r="P17" s="19"/>
      <c r="Q17" s="19"/>
      <c r="R17" s="22">
        <v>46154</v>
      </c>
      <c r="S17" s="19"/>
      <c r="T17" s="19"/>
      <c r="U17" s="19"/>
      <c r="V17" s="19"/>
      <c r="W17" s="23"/>
      <c r="X17" s="23"/>
      <c r="Y17" s="23"/>
    </row>
    <row r="18" spans="1:25" s="4" customFormat="1" ht="120" hidden="1">
      <c r="A18" s="19">
        <f t="shared" si="0"/>
        <v>15</v>
      </c>
      <c r="B18" s="19" t="s">
        <v>42</v>
      </c>
      <c r="C18" s="19" t="s">
        <v>94</v>
      </c>
      <c r="D18" s="26" t="s">
        <v>99</v>
      </c>
      <c r="E18" s="26" t="s">
        <v>100</v>
      </c>
      <c r="F18" s="27" t="s">
        <v>101</v>
      </c>
      <c r="G18" s="19">
        <v>2</v>
      </c>
      <c r="H18" s="27" t="s">
        <v>101</v>
      </c>
      <c r="I18" s="27" t="s">
        <v>102</v>
      </c>
      <c r="J18" s="29"/>
      <c r="K18" s="29"/>
      <c r="L18" s="32"/>
      <c r="M18" s="19"/>
      <c r="N18" s="19"/>
      <c r="O18" s="19"/>
      <c r="P18" s="19"/>
      <c r="Q18" s="19"/>
      <c r="R18" s="22">
        <v>46154</v>
      </c>
      <c r="S18" s="19"/>
      <c r="T18" s="19"/>
      <c r="U18" s="19"/>
      <c r="V18" s="19"/>
      <c r="W18" s="23"/>
      <c r="X18" s="23"/>
      <c r="Y18" s="23"/>
    </row>
    <row r="19" spans="1:25" s="4" customFormat="1" ht="159.6">
      <c r="A19" s="13">
        <f t="shared" si="0"/>
        <v>16</v>
      </c>
      <c r="B19" s="13" t="s">
        <v>103</v>
      </c>
      <c r="C19" s="13" t="s">
        <v>29</v>
      </c>
      <c r="D19" s="13" t="s">
        <v>104</v>
      </c>
      <c r="E19" s="13" t="s">
        <v>105</v>
      </c>
      <c r="F19" s="13" t="s">
        <v>106</v>
      </c>
      <c r="G19" s="13" t="s">
        <v>107</v>
      </c>
      <c r="H19" s="13" t="s">
        <v>108</v>
      </c>
      <c r="I19" s="13"/>
      <c r="J19" s="30"/>
      <c r="K19" s="30"/>
      <c r="L19" s="31" t="s">
        <v>196</v>
      </c>
      <c r="M19" s="13"/>
      <c r="N19" s="13"/>
      <c r="O19" s="13"/>
      <c r="P19" s="13"/>
      <c r="Q19" s="13" t="s">
        <v>56</v>
      </c>
      <c r="R19" s="16">
        <v>46139</v>
      </c>
      <c r="S19" s="13" t="s">
        <v>57</v>
      </c>
      <c r="T19" s="13"/>
      <c r="U19" s="13"/>
      <c r="V19" s="24">
        <v>0.9</v>
      </c>
      <c r="W19" s="25"/>
      <c r="X19" s="25"/>
      <c r="Y19" s="18" t="s">
        <v>41</v>
      </c>
    </row>
    <row r="20" spans="1:25" s="4" customFormat="1" ht="144.94999999999999">
      <c r="A20" s="13">
        <f t="shared" si="0"/>
        <v>17</v>
      </c>
      <c r="B20" s="13" t="s">
        <v>103</v>
      </c>
      <c r="C20" s="13" t="s">
        <v>29</v>
      </c>
      <c r="D20" s="13" t="s">
        <v>110</v>
      </c>
      <c r="E20" s="13" t="s">
        <v>111</v>
      </c>
      <c r="F20" s="13" t="s">
        <v>112</v>
      </c>
      <c r="G20" s="13" t="s">
        <v>107</v>
      </c>
      <c r="H20" s="13" t="s">
        <v>113</v>
      </c>
      <c r="I20" s="13"/>
      <c r="J20" s="30"/>
      <c r="K20" s="30"/>
      <c r="L20" s="31" t="s">
        <v>197</v>
      </c>
      <c r="M20" s="13"/>
      <c r="N20" s="13"/>
      <c r="O20" s="13" t="s">
        <v>115</v>
      </c>
      <c r="P20" s="13"/>
      <c r="Q20" s="13" t="s">
        <v>56</v>
      </c>
      <c r="R20" s="16">
        <v>46139</v>
      </c>
      <c r="S20" s="13" t="s">
        <v>57</v>
      </c>
      <c r="T20" s="13"/>
      <c r="U20" s="13"/>
      <c r="V20" s="24">
        <v>0.9</v>
      </c>
      <c r="W20" s="25"/>
      <c r="X20" s="25"/>
      <c r="Y20" s="18" t="s">
        <v>41</v>
      </c>
    </row>
    <row r="21" spans="1:25" s="4" customFormat="1" ht="57.95" hidden="1">
      <c r="A21" s="1">
        <f t="shared" si="0"/>
        <v>18</v>
      </c>
      <c r="B21" s="1" t="s">
        <v>103</v>
      </c>
      <c r="C21" s="1" t="s">
        <v>29</v>
      </c>
      <c r="D21" s="1" t="s">
        <v>116</v>
      </c>
      <c r="E21" s="1"/>
      <c r="F21" s="1"/>
      <c r="G21" s="1" t="s">
        <v>117</v>
      </c>
      <c r="H21" s="1"/>
      <c r="I21" s="1"/>
      <c r="J21" s="1"/>
      <c r="K21" s="1"/>
      <c r="L21" s="1"/>
      <c r="M21" s="1"/>
      <c r="N21" s="1"/>
      <c r="O21" s="7"/>
      <c r="P21" s="8"/>
      <c r="Q21" s="1"/>
      <c r="R21" s="2">
        <v>46164</v>
      </c>
      <c r="S21" s="1"/>
      <c r="T21" s="7"/>
      <c r="U21" s="9"/>
      <c r="V21" s="8"/>
    </row>
    <row r="22" spans="1:25" s="4" customFormat="1" ht="188.45" hidden="1">
      <c r="A22" s="1">
        <f t="shared" si="0"/>
        <v>19</v>
      </c>
      <c r="B22" s="1" t="s">
        <v>118</v>
      </c>
      <c r="C22" t="s">
        <v>119</v>
      </c>
      <c r="D22" s="1" t="s">
        <v>120</v>
      </c>
      <c r="E22" s="1" t="s">
        <v>121</v>
      </c>
      <c r="F22" s="1"/>
      <c r="G22" s="1"/>
      <c r="H22" s="1" t="s">
        <v>123</v>
      </c>
      <c r="I22" s="1"/>
      <c r="J22" s="1"/>
      <c r="K22" s="1"/>
      <c r="L22" s="1"/>
      <c r="M22" s="1" t="s">
        <v>125</v>
      </c>
      <c r="N22" s="1"/>
      <c r="O22" s="1"/>
      <c r="P22" s="1"/>
      <c r="Q22" s="1"/>
      <c r="R22" s="1"/>
      <c r="S22" s="1"/>
      <c r="T22" s="1"/>
      <c r="U22" s="1"/>
      <c r="V22" s="1"/>
    </row>
    <row r="23" spans="1:25" s="4" customFormat="1" ht="130.5" hidden="1">
      <c r="A23" s="1">
        <f t="shared" si="0"/>
        <v>20</v>
      </c>
      <c r="B23" s="1" t="s">
        <v>118</v>
      </c>
      <c r="C23" t="s">
        <v>119</v>
      </c>
      <c r="D23" s="1" t="s">
        <v>126</v>
      </c>
      <c r="E23" s="1" t="s">
        <v>127</v>
      </c>
      <c r="F23" s="1"/>
      <c r="G23" s="1"/>
      <c r="H23" s="1" t="s">
        <v>128</v>
      </c>
      <c r="I23" s="1"/>
      <c r="J23" s="1"/>
      <c r="K23" s="1"/>
      <c r="L23" s="1"/>
      <c r="M23" s="1" t="s">
        <v>129</v>
      </c>
      <c r="N23" s="1"/>
      <c r="O23" s="1"/>
      <c r="P23" s="1"/>
      <c r="Q23" s="1"/>
      <c r="R23" s="1"/>
      <c r="S23" s="1"/>
      <c r="T23" s="1"/>
      <c r="U23" s="1"/>
      <c r="V23" s="1"/>
    </row>
    <row r="24" spans="1:25" ht="87" hidden="1">
      <c r="A24" s="1">
        <f t="shared" si="0"/>
        <v>21</v>
      </c>
      <c r="B24" s="1" t="s">
        <v>118</v>
      </c>
      <c r="C24" t="s">
        <v>119</v>
      </c>
      <c r="D24" s="1" t="s">
        <v>130</v>
      </c>
      <c r="E24" s="1" t="s">
        <v>131</v>
      </c>
      <c r="H24" s="1" t="s">
        <v>132</v>
      </c>
      <c r="M24" s="1" t="s">
        <v>133</v>
      </c>
    </row>
    <row r="25" spans="1:25" ht="116.1" hidden="1">
      <c r="A25" s="1">
        <f t="shared" si="0"/>
        <v>22</v>
      </c>
      <c r="B25" s="1" t="s">
        <v>118</v>
      </c>
      <c r="C25" t="s">
        <v>119</v>
      </c>
      <c r="D25" s="1" t="s">
        <v>134</v>
      </c>
      <c r="E25" s="1" t="s">
        <v>135</v>
      </c>
      <c r="H25" s="1" t="s">
        <v>136</v>
      </c>
      <c r="M25" s="1" t="s">
        <v>133</v>
      </c>
    </row>
    <row r="26" spans="1:25" hidden="1">
      <c r="A26" s="1">
        <f t="shared" si="0"/>
        <v>23</v>
      </c>
      <c r="B26" s="1" t="s">
        <v>137</v>
      </c>
      <c r="C26" s="1" t="s">
        <v>29</v>
      </c>
      <c r="D26" s="1" t="s">
        <v>138</v>
      </c>
      <c r="G26" s="1">
        <v>1</v>
      </c>
    </row>
    <row r="27" spans="1:25" ht="43.5" hidden="1">
      <c r="A27" s="1">
        <f t="shared" si="0"/>
        <v>24</v>
      </c>
      <c r="B27" s="1" t="s">
        <v>137</v>
      </c>
      <c r="C27" s="1" t="s">
        <v>29</v>
      </c>
      <c r="D27" s="1" t="s">
        <v>143</v>
      </c>
    </row>
    <row r="28" spans="1:25" hidden="1">
      <c r="A28" s="1">
        <f t="shared" si="0"/>
        <v>25</v>
      </c>
      <c r="B28" s="1" t="s">
        <v>137</v>
      </c>
      <c r="C28" s="1" t="s">
        <v>29</v>
      </c>
      <c r="D28" s="1" t="s">
        <v>147</v>
      </c>
    </row>
    <row r="29" spans="1:25" ht="130.5" hidden="1">
      <c r="A29" s="1">
        <f t="shared" si="0"/>
        <v>26</v>
      </c>
      <c r="B29" s="1" t="s">
        <v>137</v>
      </c>
      <c r="C29" s="1" t="s">
        <v>29</v>
      </c>
      <c r="D29" s="1" t="s">
        <v>151</v>
      </c>
      <c r="H29" s="10" t="s">
        <v>198</v>
      </c>
    </row>
    <row r="30" spans="1:25" ht="29.1" hidden="1">
      <c r="A30" s="1">
        <f t="shared" si="0"/>
        <v>27</v>
      </c>
      <c r="B30" s="1" t="s">
        <v>137</v>
      </c>
      <c r="C30" s="1" t="s">
        <v>29</v>
      </c>
      <c r="D30" s="1" t="s">
        <v>155</v>
      </c>
      <c r="H30" s="11"/>
    </row>
    <row r="31" spans="1:25" ht="29.1" hidden="1">
      <c r="A31" s="1">
        <f t="shared" si="0"/>
        <v>28</v>
      </c>
      <c r="B31" s="1" t="s">
        <v>137</v>
      </c>
      <c r="C31" s="1" t="s">
        <v>29</v>
      </c>
      <c r="D31" s="1" t="s">
        <v>199</v>
      </c>
    </row>
    <row r="32" spans="1:25" ht="43.5" hidden="1">
      <c r="A32" s="1">
        <f t="shared" si="0"/>
        <v>29</v>
      </c>
      <c r="B32" s="1" t="s">
        <v>137</v>
      </c>
      <c r="C32" s="1" t="s">
        <v>29</v>
      </c>
      <c r="D32" s="1" t="s">
        <v>200</v>
      </c>
    </row>
    <row r="33" spans="1:11" ht="29.1" hidden="1">
      <c r="A33" s="1">
        <f t="shared" si="0"/>
        <v>30</v>
      </c>
      <c r="B33" s="1" t="s">
        <v>137</v>
      </c>
      <c r="C33" s="1" t="s">
        <v>29</v>
      </c>
      <c r="D33" s="12" t="s">
        <v>163</v>
      </c>
    </row>
    <row r="34" spans="1:11" ht="57.95" hidden="1">
      <c r="A34" s="1">
        <f t="shared" si="0"/>
        <v>31</v>
      </c>
      <c r="B34" s="1" t="s">
        <v>137</v>
      </c>
      <c r="C34" s="1" t="s">
        <v>29</v>
      </c>
      <c r="D34" s="12" t="s">
        <v>167</v>
      </c>
    </row>
    <row r="35" spans="1:11" ht="87" hidden="1">
      <c r="A35" s="1">
        <f t="shared" si="0"/>
        <v>32</v>
      </c>
      <c r="B35" s="1" t="s">
        <v>171</v>
      </c>
      <c r="C35" s="1" t="s">
        <v>29</v>
      </c>
      <c r="D35" s="1" t="s">
        <v>172</v>
      </c>
      <c r="E35" s="1" t="s">
        <v>173</v>
      </c>
    </row>
    <row r="36" spans="1:11" ht="144.94999999999999" hidden="1">
      <c r="A36" s="1">
        <f t="shared" si="0"/>
        <v>33</v>
      </c>
      <c r="B36" s="1" t="s">
        <v>171</v>
      </c>
      <c r="C36" s="1" t="s">
        <v>29</v>
      </c>
      <c r="D36" s="1" t="s">
        <v>174</v>
      </c>
      <c r="E36" s="1" t="s">
        <v>175</v>
      </c>
    </row>
    <row r="37" spans="1:11" ht="116.1" hidden="1">
      <c r="A37" s="1">
        <f t="shared" si="0"/>
        <v>34</v>
      </c>
      <c r="B37" s="1" t="s">
        <v>171</v>
      </c>
      <c r="C37" s="1" t="s">
        <v>29</v>
      </c>
      <c r="D37" s="1" t="s">
        <v>176</v>
      </c>
      <c r="E37" s="1" t="s">
        <v>177</v>
      </c>
    </row>
    <row r="38" spans="1:11" ht="188.45" hidden="1">
      <c r="A38" s="1">
        <f t="shared" si="0"/>
        <v>35</v>
      </c>
      <c r="B38" s="1" t="s">
        <v>171</v>
      </c>
      <c r="C38" s="1" t="s">
        <v>29</v>
      </c>
      <c r="D38" s="1" t="s">
        <v>178</v>
      </c>
      <c r="E38" s="1" t="s">
        <v>179</v>
      </c>
    </row>
    <row r="39" spans="1:11" ht="101.45" hidden="1">
      <c r="A39" s="1">
        <f t="shared" si="0"/>
        <v>36</v>
      </c>
      <c r="B39" s="1" t="s">
        <v>171</v>
      </c>
      <c r="C39" s="1" t="s">
        <v>29</v>
      </c>
      <c r="D39" s="1" t="s">
        <v>182</v>
      </c>
      <c r="E39" s="1" t="s">
        <v>183</v>
      </c>
    </row>
    <row r="40" spans="1:11" ht="29.1" hidden="1">
      <c r="A40" s="1">
        <f t="shared" si="0"/>
        <v>37</v>
      </c>
      <c r="B40" s="1" t="s">
        <v>184</v>
      </c>
      <c r="C40" s="1" t="s">
        <v>29</v>
      </c>
      <c r="D40" s="1" t="s">
        <v>185</v>
      </c>
    </row>
    <row r="41" spans="1:11" ht="29.1" hidden="1">
      <c r="A41" s="1">
        <f t="shared" si="0"/>
        <v>38</v>
      </c>
      <c r="B41" s="1" t="s">
        <v>184</v>
      </c>
      <c r="C41" s="1" t="s">
        <v>29</v>
      </c>
      <c r="D41" s="1" t="s">
        <v>186</v>
      </c>
    </row>
    <row r="42" spans="1:11" ht="29.1" hidden="1">
      <c r="A42" s="1">
        <f t="shared" si="0"/>
        <v>39</v>
      </c>
      <c r="B42" s="1" t="s">
        <v>184</v>
      </c>
      <c r="C42" s="1" t="s">
        <v>29</v>
      </c>
      <c r="D42" s="1" t="s">
        <v>187</v>
      </c>
    </row>
    <row r="43" spans="1:11" ht="29.1" hidden="1">
      <c r="A43" s="1">
        <f t="shared" si="0"/>
        <v>40</v>
      </c>
      <c r="B43" s="1" t="s">
        <v>184</v>
      </c>
      <c r="C43" s="1" t="s">
        <v>29</v>
      </c>
      <c r="D43" s="1" t="s">
        <v>188</v>
      </c>
    </row>
    <row r="44" spans="1:11" hidden="1">
      <c r="A44" s="1">
        <f t="shared" si="0"/>
        <v>41</v>
      </c>
      <c r="B44" s="1" t="s">
        <v>184</v>
      </c>
      <c r="C44" s="1" t="s">
        <v>29</v>
      </c>
      <c r="D44" s="1" t="s">
        <v>189</v>
      </c>
    </row>
    <row r="45" spans="1:11" hidden="1">
      <c r="A45" s="1">
        <f t="shared" si="0"/>
        <v>42</v>
      </c>
      <c r="B45" s="1" t="s">
        <v>184</v>
      </c>
      <c r="C45" s="1" t="s">
        <v>29</v>
      </c>
      <c r="D45" s="1" t="s">
        <v>190</v>
      </c>
    </row>
    <row r="46" spans="1:11" ht="29.1" hidden="1">
      <c r="A46" s="1">
        <f t="shared" si="0"/>
        <v>43</v>
      </c>
      <c r="B46" s="1" t="s">
        <v>184</v>
      </c>
      <c r="C46" s="1" t="s">
        <v>29</v>
      </c>
      <c r="D46" s="1" t="s">
        <v>191</v>
      </c>
    </row>
    <row r="47" spans="1:11" ht="29.1" hidden="1">
      <c r="A47" s="1">
        <f t="shared" si="0"/>
        <v>44</v>
      </c>
      <c r="B47" s="1" t="s">
        <v>184</v>
      </c>
      <c r="C47" s="1" t="s">
        <v>29</v>
      </c>
      <c r="D47" s="1" t="s">
        <v>192</v>
      </c>
    </row>
    <row r="48" spans="1:11" ht="43.5">
      <c r="J48" s="1" t="s">
        <v>201</v>
      </c>
      <c r="K48" s="1" t="s">
        <v>201</v>
      </c>
    </row>
  </sheetData>
  <mergeCells count="4">
    <mergeCell ref="A1:C1"/>
    <mergeCell ref="O2:P2"/>
    <mergeCell ref="T2:V2"/>
    <mergeCell ref="J2: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B614E-A94D-4BFF-86D3-290CC6E36F7F}">
  <dimension ref="A1:B3"/>
  <sheetViews>
    <sheetView workbookViewId="0">
      <selection activeCell="B2" sqref="B2"/>
    </sheetView>
  </sheetViews>
  <sheetFormatPr defaultRowHeight="14.45"/>
  <sheetData>
    <row r="1" spans="1:2">
      <c r="A1">
        <v>1</v>
      </c>
      <c r="B1" t="s">
        <v>29</v>
      </c>
    </row>
    <row r="2" spans="1:2">
      <c r="A2">
        <v>2</v>
      </c>
      <c r="B2" t="s">
        <v>119</v>
      </c>
    </row>
    <row r="3" spans="1:2">
      <c r="A3">
        <v>3</v>
      </c>
      <c r="B3" t="s">
        <v>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0B4BA9AB-9481-4A99-A396-02932C57F8D9}"/>
</file>

<file path=docProps/app.xml><?xml version="1.0" encoding="utf-8"?>
<Properties xmlns="http://schemas.openxmlformats.org/officeDocument/2006/extended-properties" xmlns:vt="http://schemas.openxmlformats.org/officeDocument/2006/docPropsVTypes">
  <Application>Microsoft Excel Online</Application>
  <Manager/>
  <Company>ISEO Ultimate Access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Paolo Laini</dc:creator>
  <cp:keywords/>
  <dc:description/>
  <cp:lastModifiedBy>Paolo Laini</cp:lastModifiedBy>
  <cp:revision/>
  <dcterms:created xsi:type="dcterms:W3CDTF">2026-06-07T06:24:11Z</dcterms:created>
  <dcterms:modified xsi:type="dcterms:W3CDTF">2026-06-11T10:42:38Z</dcterms:modified>
  <cp:category/>
  <cp:contentStatus/>
</cp:coreProperties>
</file>